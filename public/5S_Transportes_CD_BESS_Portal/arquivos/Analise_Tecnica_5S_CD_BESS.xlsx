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9a79c010a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xecutivo" sheetId="1" r:id="R985deb95f67443dc"/>
    <x:sheet xmlns:r="http://schemas.openxmlformats.org/officeDocument/2006/relationships" name="Premissas" sheetId="2" r:id="R09c84270be954cb6"/>
    <x:sheet xmlns:r="http://schemas.openxmlformats.org/officeDocument/2006/relationships" name="Memória de Massa" sheetId="3" r:id="R03f5aa3644ad43c5"/>
    <x:sheet xmlns:r="http://schemas.openxmlformats.org/officeDocument/2006/relationships" name="Simulação 2025" sheetId="4" r:id="R9ba964f0ff5f40ed"/>
    <x:sheet xmlns:r="http://schemas.openxmlformats.org/officeDocument/2006/relationships" name="Payback" sheetId="5" r:id="R059a0ace567b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R$ #,##0;[Red](R$ #,##0);-"/>
    <x:numFmt numFmtId="202" formatCode="0.00 &quot;anos&quot;"/>
    <x:numFmt numFmtId="203" formatCode="0%"/>
    <x:numFmt numFmtId="204" formatCode="0"/>
    <x:numFmt numFmtId="205" formatCode="0.000"/>
    <x:numFmt numFmtId="206" formatCode="0.0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23A6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2E8B57"/>
      <x:name val="Carlito"/>
    </x:font>
    <x:font>
      <x:sz val="11"/>
      <x:color rgb="FF111827"/>
      <x:name val="Carlito"/>
    </x:font>
    <x:font>
      <x:sz val="11"/>
      <x:color rgb="FF8A4B08"/>
      <x:name val="Carlito"/>
    </x:font>
    <x:font>
      <x:sz val="11"/>
      <x:color rgb="FF123A63"/>
      <x:name val="Carlito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EAF2F8"/>
      </x:patternFill>
    </x:fill>
    <x:fill>
      <x:patternFill patternType="solid">
        <x:fgColor rgb="FF1F5A93"/>
      </x:patternFill>
    </x:fill>
    <x:fill>
      <x:patternFill patternType="solid">
        <x:fgColor rgb="FFEAF5EF"/>
      </x:patternFill>
    </x:fill>
    <x:fill>
      <x:patternFill patternType="solid">
        <x:fgColor rgb="FFFFF4E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4" fillId="0" borderId="0" xfId="0" applyNumberFormat="1" applyFont="1" applyFill="1" applyBorder="1"/>
    <x:xf numFmtId="206" fontId="4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a050c439143b0" /><Relationship Type="http://schemas.openxmlformats.org/officeDocument/2006/relationships/theme" Target="/xl/theme/theme1.xml" Id="R2e716d6ea57d4450" /><Relationship Type="http://schemas.openxmlformats.org/officeDocument/2006/relationships/sharedStrings" Target="/xl/sharedStrings.xml" Id="R1019f489bcff4e9c" /><Relationship Type="http://schemas.openxmlformats.org/officeDocument/2006/relationships/worksheet" Target="/xl/worksheets/sheet1.xml" Id="R985deb95f67443dc" /><Relationship Type="http://schemas.openxmlformats.org/officeDocument/2006/relationships/worksheet" Target="/xl/worksheets/sheet2.xml" Id="R09c84270be954cb6" /><Relationship Type="http://schemas.openxmlformats.org/officeDocument/2006/relationships/worksheet" Target="/xl/worksheets/sheet3.xml" Id="R03f5aa3644ad43c5" /><Relationship Type="http://schemas.openxmlformats.org/officeDocument/2006/relationships/worksheet" Target="/xl/worksheets/sheet4.xml" Id="R9ba964f0ff5f40ed" /><Relationship Type="http://schemas.openxmlformats.org/officeDocument/2006/relationships/worksheet" Target="/xl/worksheets/sheet5.xml" Id="R059a0ace567b4c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b643118ca14a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Payback por cenário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Economia operacional</c:v>
          </c:tx>
          <c:cat>
            <c:strRef>
              <c:f>'Payback'!$A$5:$A$8</c:f>
              <c:strCache>
                <c:ptCount val="0"/>
              </c:strCache>
            </c:strRef>
          </c:cat>
          <c:val>
            <c:numRef>
              <c:f>'Payback'!$B$5:$B$8</c:f>
              <c:numCache>
                <c:formatCode>R$ #,##0;[Red](R$ #,##0);-</c:formatCode>
                <c:ptCount val="0"/>
              </c:numCache>
            </c:numRef>
          </c:val>
        </c:ser>
        <c:ser>
          <c:idx val="1"/>
          <c:order val="1"/>
          <c:tx>
            <c:v>Benefício fiscal potencial</c:v>
          </c:tx>
          <c:cat>
            <c:strRef>
              <c:f>'Payback'!$A$5:$A$8</c:f>
              <c:strCache>
                <c:ptCount val="0"/>
              </c:strCache>
            </c:strRef>
          </c:cat>
          <c:val>
            <c:numRef>
              <c:f>'Payback'!$C$5:$C$8</c:f>
              <c:numCache>
                <c:formatCode>R$ #,##0;[Red](R$ #,##0);-</c:formatCode>
                <c:ptCount val="0"/>
              </c:numCache>
            </c:numRef>
          </c:val>
        </c:ser>
        <c:ser>
          <c:idx val="2"/>
          <c:order val="2"/>
          <c:tx>
            <c:v>Benefício total</c:v>
          </c:tx>
          <c:cat>
            <c:strRef>
              <c:f>'Payback'!$A$5:$A$8</c:f>
              <c:strCache>
                <c:ptCount val="0"/>
              </c:strCache>
            </c:strRef>
          </c:cat>
          <c:val>
            <c:numRef>
              <c:f>'Payback'!$D$5:$D$8</c:f>
              <c:numCache>
                <c:formatCode>R$ #,##0;[Red](R$ #,##0);-</c:formatCode>
                <c:ptCount val="0"/>
              </c:numCache>
            </c:numRef>
          </c:val>
        </c:ser>
        <c:ser>
          <c:idx val="3"/>
          <c:order val="3"/>
          <c:tx>
            <c:v>Payback</c:v>
          </c:tx>
          <c:cat>
            <c:strRef>
              <c:f>'Payback'!$A$5:$A$8</c:f>
              <c:strCache>
                <c:ptCount val="0"/>
              </c:strCache>
            </c:strRef>
          </c:cat>
          <c:val>
            <c:numRef>
              <c:f>'Payback'!$E$5:$E$8</c:f>
              <c:numCache>
                <c:formatCode>0.00 "anos"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b643118ca14a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37b93388d9446e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4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95" t="str">
        <x:v>CD SOLUÇÕES RENOVÁVEIS | ANÁLISE TÉCNICA – 5S TRANSPORTES</x:v>
      </x:c>
      <x:c r="B1" s="95"/>
      <x:c r="C1" s="95"/>
      <x:c r="D1" s="95"/>
      <x:c r="E1" s="95"/>
      <x:c r="F1" s="95"/>
      <x:c r="G1" s="95"/>
      <x:c r="H1" s="95"/>
    </x:row>
    <x:row r="2" ht="28" customHeight="1">
      <x:c r="A2" s="77" t="str">
        <x:v>Cliente: 5 S TRANSPORTES E LOGISTICA FARMACEUTICA LTDA | Projeto: Grid Zero + BESS</x:v>
      </x:c>
      <x:c r="B2" s="77"/>
      <x:c r="C2" s="77"/>
      <x:c r="D2" s="77"/>
      <x:c r="E2" s="77"/>
      <x:c r="F2" s="77"/>
      <x:c r="G2" s="77"/>
      <x:c r="H2" s="77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 ht="22" customHeight="1">
      <x:c r="A4" s="97" t="str">
        <x:v>CONFIGURAÇÃO PROPOSTA</x:v>
      </x:c>
      <x:c r="B4" s="97" t="str">
        <x:v>CONFIGURAÇÃO PROPOSTA</x:v>
      </x:c>
      <x:c r="C4" s="97" t="str">
        <x:v>CONFIGURAÇÃO PROPOSTA</x:v>
      </x:c>
      <x:c r="D4" s="97" t="str">
        <x:v>CONFIGURAÇÃO PROPOSTA</x:v>
      </x:c>
      <x:c r="E4" s="97" t="str">
        <x:v>CONFIGURAÇÃO PROPOSTA</x:v>
      </x:c>
      <x:c r="F4" s="97" t="str">
        <x:v>CONFIGURAÇÃO PROPOSTA</x:v>
      </x:c>
      <x:c r="G4" s="97" t="str">
        <x:v>CONFIGURAÇÃO PROPOSTA</x:v>
      </x:c>
      <x:c r="H4" s="97" t="str">
        <x:v>CONFIGURAÇÃO PROPOSTA</x:v>
      </x:c>
    </x:row>
    <x:row r="5">
      <x:c r="A5" s="22" t="str">
        <x:v>Item</x:v>
      </x:c>
      <x:c r="B5" s="22" t="str">
        <x:v>Valor</x:v>
      </x:c>
      <x:c r="C5" s="22" t="str">
        <x:v>Unidade</x:v>
      </x:c>
      <x:c r="D5" s="22" t="str">
        <x:v>Observação</x:v>
      </x:c>
      <x:c r="E5" s="96"/>
      <x:c r="F5" s="96"/>
      <x:c r="G5" s="96"/>
      <x:c r="H5" s="96"/>
    </x:row>
    <x:row r="6">
      <x:c r="A6" s="96" t="str">
        <x:v>FV adicional</x:v>
      </x:c>
      <x:c r="B6" s="98" t="n">
        <x:v>112.5</x:v>
      </x:c>
      <x:c r="C6" s="96" t="str">
        <x:v>kWp</x:v>
      </x:c>
      <x:c r="D6" s="96" t="str">
        <x:v>Grid Zero</x:v>
      </x:c>
      <x:c r="E6" s="96"/>
      <x:c r="F6" s="96"/>
      <x:c r="G6" s="96"/>
      <x:c r="H6" s="96"/>
    </x:row>
    <x:row r="7">
      <x:c r="A7" s="96" t="str">
        <x:v>Inversor FV</x:v>
      </x:c>
      <x:c r="B7" s="98" t="n">
        <x:v>75</x:v>
      </x:c>
      <x:c r="C7" s="96" t="str">
        <x:v>kW AC</x:v>
      </x:c>
      <x:c r="D7" s="96" t="str">
        <x:v>Relação DC/AC = 1,50</x:v>
      </x:c>
      <x:c r="E7" s="96"/>
      <x:c r="F7" s="96"/>
      <x:c r="G7" s="96"/>
      <x:c r="H7" s="96"/>
    </x:row>
    <x:row r="8">
      <x:c r="A8" s="96" t="str">
        <x:v>BESS</x:v>
      </x:c>
      <x:c r="B8" s="98" t="n">
        <x:v>125</x:v>
      </x:c>
      <x:c r="C8" s="96" t="str">
        <x:v>kW</x:v>
      </x:c>
      <x:c r="D8" s="96" t="str">
        <x:v>Potência nominal</x:v>
      </x:c>
      <x:c r="E8" s="96"/>
      <x:c r="F8" s="96"/>
      <x:c r="G8" s="96"/>
      <x:c r="H8" s="96"/>
    </x:row>
    <x:row r="9">
      <x:c r="A9" s="99" t="str">
        <x:v>BESS</x:v>
      </x:c>
      <x:c r="B9" s="100" t="n">
        <x:v>277</x:v>
      </x:c>
      <x:c r="C9" s="99" t="str">
        <x:v>kWh</x:v>
      </x:c>
      <x:c r="D9" s="99" t="str">
        <x:v>Capacidade nominal</x:v>
      </x:c>
      <x:c r="E9" s="96"/>
      <x:c r="F9" s="96"/>
      <x:c r="G9" s="96"/>
      <x:c r="H9" s="96"/>
    </x:row>
    <x:row r="10">
      <x:c r="A10" s="96"/>
      <x:c r="B10" s="96"/>
      <x:c r="C10" s="96"/>
      <x:c r="D10" s="96"/>
      <x:c r="E10" s="96"/>
      <x:c r="F10" s="96"/>
      <x:c r="G10" s="96"/>
      <x:c r="H10" s="96"/>
    </x:row>
    <x:row r="11" ht="22" customHeight="1">
      <x:c r="A11" s="97" t="str">
        <x:v>BASE DE DADOS E DIAGNÓSTICO</x:v>
      </x:c>
      <x:c r="B11" s="97" t="str">
        <x:v>BASE DE DADOS E DIAGNÓSTICO</x:v>
      </x:c>
      <x:c r="C11" s="97" t="str">
        <x:v>BASE DE DADOS E DIAGNÓSTICO</x:v>
      </x:c>
      <x:c r="D11" s="97" t="str">
        <x:v>BASE DE DADOS E DIAGNÓSTICO</x:v>
      </x:c>
      <x:c r="E11" s="97" t="str">
        <x:v>BASE DE DADOS E DIAGNÓSTICO</x:v>
      </x:c>
      <x:c r="F11" s="97" t="str">
        <x:v>BASE DE DADOS E DIAGNÓSTICO</x:v>
      </x:c>
      <x:c r="G11" s="97" t="str">
        <x:v>BASE DE DADOS E DIAGNÓSTICO</x:v>
      </x:c>
      <x:c r="H11" s="97" t="str">
        <x:v>BASE DE DADOS E DIAGNÓSTICO</x:v>
      </x:c>
    </x:row>
    <x:row r="12">
      <x:c r="A12" s="22" t="str">
        <x:v>Métrica</x:v>
      </x:c>
      <x:c r="B12" s="22" t="str">
        <x:v>Valor</x:v>
      </x:c>
      <x:c r="C12" s="22" t="str">
        <x:v>Unidade</x:v>
      </x:c>
      <x:c r="D12" s="22" t="str">
        <x:v>Base / critério</x:v>
      </x:c>
      <x:c r="E12" s="96" t="str"/>
      <x:c r="F12" s="96" t="str"/>
      <x:c r="G12" s="96" t="str"/>
      <x:c r="H12" s="96" t="str"/>
    </x:row>
    <x:row r="13">
      <x:c r="A13" s="96" t="str">
        <x:v>Importação média 2025</x:v>
      </x:c>
      <x:c r="B13" s="101" t="n">
        <x:v>29.5</x:v>
      </x:c>
      <x:c r="C13" s="96" t="str">
        <x:v>MWh/mês</x:v>
      </x:c>
      <x:c r="D13" s="96" t="str">
        <x:v>Memória de massa 2025</x:v>
      </x:c>
      <x:c r="E13" s="96" t="str"/>
      <x:c r="F13" s="96" t="str"/>
      <x:c r="G13" s="96" t="str"/>
      <x:c r="H13" s="96" t="str"/>
    </x:row>
    <x:row r="14">
      <x:c r="A14" s="96" t="str">
        <x:v>Geração FV existente estimada</x:v>
      </x:c>
      <x:c r="B14" s="101" t="n">
        <x:v>21.5</x:v>
      </x:c>
      <x:c r="C14" s="96" t="str">
        <x:v>MWh/mês</x:v>
      </x:c>
      <x:c r="D14" s="96" t="str">
        <x:v>Monitoramento FV 2025</x:v>
      </x:c>
      <x:c r="E14" s="96" t="str"/>
      <x:c r="F14" s="96" t="str"/>
      <x:c r="G14" s="96" t="str"/>
      <x:c r="H14" s="96" t="str"/>
    </x:row>
    <x:row r="15">
      <x:c r="A15" s="96" t="str">
        <x:v>Exportação média 2025</x:v>
      </x:c>
      <x:c r="B15" s="101" t="n">
        <x:v>8.1</x:v>
      </x:c>
      <x:c r="C15" s="96" t="str">
        <x:v>MWh/mês</x:v>
      </x:c>
      <x:c r="D15" s="96" t="str">
        <x:v>Memória de massa 2025</x:v>
      </x:c>
      <x:c r="E15" s="96" t="str"/>
      <x:c r="F15" s="96" t="str"/>
      <x:c r="G15" s="96" t="str"/>
      <x:c r="H15" s="96" t="str"/>
    </x:row>
    <x:row r="16">
      <x:c r="A16" s="96" t="str">
        <x:v>Autoconsumo FV estimado 2025</x:v>
      </x:c>
      <x:c r="B16" s="101" t="n">
        <x:v>13.4</x:v>
      </x:c>
      <x:c r="C16" s="96" t="str">
        <x:v>MWh/mês</x:v>
      </x:c>
      <x:c r="D16" s="96" t="str">
        <x:v>Geração – exportação</x:v>
      </x:c>
      <x:c r="E16" s="96" t="str"/>
      <x:c r="F16" s="96" t="str"/>
      <x:c r="G16" s="96" t="str"/>
      <x:c r="H16" s="96" t="str"/>
    </x:row>
    <x:row r="17">
      <x:c r="A17" s="96" t="str">
        <x:v>Carga bruta estimada 2025</x:v>
      </x:c>
      <x:c r="B17" s="101" t="n">
        <x:v>42.9</x:v>
      </x:c>
      <x:c r="C17" s="96" t="str">
        <x:v>MWh/mês</x:v>
      </x:c>
      <x:c r="D17" s="96" t="str">
        <x:v>Importação + autoconsumo</x:v>
      </x:c>
      <x:c r="E17" s="96" t="str"/>
      <x:c r="F17" s="96" t="str"/>
      <x:c r="G17" s="96" t="str"/>
      <x:c r="H17" s="96" t="str"/>
    </x:row>
    <x:row r="18">
      <x:c r="A18" s="96" t="str">
        <x:v>Importação média Jan–Mai/26</x:v>
      </x:c>
      <x:c r="B18" s="101" t="n">
        <x:v>31</x:v>
      </x:c>
      <x:c r="C18" s="96" t="str">
        <x:v>MWh/mês</x:v>
      </x:c>
      <x:c r="D18" s="96" t="str">
        <x:v>Memória de massa 2026</x:v>
      </x:c>
      <x:c r="E18" s="96" t="str"/>
      <x:c r="F18" s="96" t="str"/>
      <x:c r="G18" s="96" t="str"/>
      <x:c r="H18" s="96" t="str"/>
    </x:row>
    <x:row r="19">
      <x:c r="A19" s="96"/>
      <x:c r="B19" s="96"/>
      <x:c r="C19" s="96"/>
      <x:c r="D19" s="96"/>
      <x:c r="E19" s="96"/>
      <x:c r="F19" s="96"/>
      <x:c r="G19" s="96"/>
      <x:c r="H19" s="96"/>
    </x:row>
    <x:row r="20" ht="22" customHeight="1">
      <x:c r="A20" s="97" t="str">
        <x:v>RESULTADO ECONÔMICO – ANO 1</x:v>
      </x:c>
      <x:c r="B20" s="97" t="str">
        <x:v>RESULTADO ECONÔMICO – ANO 1</x:v>
      </x:c>
      <x:c r="C20" s="97" t="str">
        <x:v>RESULTADO ECONÔMICO – ANO 1</x:v>
      </x:c>
      <x:c r="D20" s="97" t="str">
        <x:v>RESULTADO ECONÔMICO – ANO 1</x:v>
      </x:c>
      <x:c r="E20" s="97" t="str">
        <x:v>RESULTADO ECONÔMICO – ANO 1</x:v>
      </x:c>
      <x:c r="F20" s="97" t="str">
        <x:v>RESULTADO ECONÔMICO – ANO 1</x:v>
      </x:c>
      <x:c r="G20" s="97" t="str">
        <x:v>RESULTADO ECONÔMICO – ANO 1</x:v>
      </x:c>
      <x:c r="H20" s="97" t="str">
        <x:v>RESULTADO ECONÔMICO – ANO 1</x:v>
      </x:c>
    </x:row>
    <x:row r="21">
      <x:c r="A21" s="22" t="str">
        <x:v>Cenário</x:v>
      </x:c>
      <x:c r="B21" s="22" t="str">
        <x:v>Economia operacional</x:v>
      </x:c>
      <x:c r="C21" s="22" t="str">
        <x:v>Payback simples</x:v>
      </x:c>
      <x:c r="D21" s="22" t="str">
        <x:v>Comentário</x:v>
      </x:c>
      <x:c r="E21" s="96"/>
      <x:c r="F21" s="96"/>
      <x:c r="G21" s="96"/>
      <x:c r="H21" s="96"/>
    </x:row>
    <x:row r="22">
      <x:c r="A22" s="96" t="str">
        <x:v>Conservador (Jan–Mai/26 anualizado)</x:v>
      </x:c>
      <x:c r="B22" s="102" t="n">
        <x:v>141119</x:v>
      </x:c>
      <x:c r="C22" s="103" t="n">
        <x:f>Premissas!B19/B22</x:f>
        <x:v>6.583096535548012</x:v>
      </x:c>
      <x:c r="D22" s="96" t="str">
        <x:v>Referência prudente</x:v>
      </x:c>
      <x:c r="E22" s="96"/>
      <x:c r="F22" s="96"/>
      <x:c r="G22" s="96"/>
      <x:c r="H22" s="96"/>
    </x:row>
    <x:row r="23">
      <x:c r="A23" s="96" t="str">
        <x:v>Base comercial</x:v>
      </x:c>
      <x:c r="B23" s="102" t="n">
        <x:v>150000</x:v>
      </x:c>
      <x:c r="C23" s="103" t="n">
        <x:f>Premissas!B19/B23</x:f>
        <x:v>6.193333333333333</x:v>
      </x:c>
      <x:c r="D23" s="96" t="str">
        <x:v>Cenário central</x:v>
      </x:c>
      <x:c r="E23" s="96"/>
      <x:c r="F23" s="96"/>
      <x:c r="G23" s="96"/>
      <x:c r="H23" s="96"/>
    </x:row>
    <x:row r="24">
      <x:c r="A24" s="96" t="str">
        <x:v>Histórico 2025 modelado</x:v>
      </x:c>
      <x:c r="B24" s="102" t="n">
        <x:v>167587</x:v>
      </x:c>
      <x:c r="C24" s="103" t="n">
        <x:f>Premissas!B19/B24</x:f>
        <x:v>5.543389403712698</x:v>
      </x:c>
      <x:c r="D24" s="96" t="str">
        <x:v>Maior consumo em ponta</x:v>
      </x:c>
      <x:c r="E24" s="96"/>
      <x:c r="F24" s="96"/>
      <x:c r="G24" s="96"/>
      <x:c r="H24" s="96"/>
    </x:row>
    <x:row r="25">
      <x:c r="A25" s="96" t="str">
        <x:v>Benefício fiscal potencial</x:v>
      </x:c>
      <x:c r="B25" s="102" t="n">
        <x:v>40179</x:v>
      </x:c>
      <x:c r="C25" s="96" t="str">
        <x:v>-</x:v>
      </x:c>
      <x:c r="D25" s="96" t="str">
        <x:v>Separado da economia operacional</x:v>
      </x:c>
      <x:c r="E25" s="96"/>
      <x:c r="F25" s="96"/>
      <x:c r="G25" s="96"/>
      <x:c r="H25" s="96"/>
    </x:row>
    <x:row r="26">
      <x:c r="A26" s="96" t="str">
        <x:v>Base + fiscal potencial</x:v>
      </x:c>
      <x:c r="B26" s="104" t="n">
        <x:f>B23+B25</x:f>
        <x:v>190179</x:v>
      </x:c>
      <x:c r="C26" s="103" t="n">
        <x:f>Premissas!B19/B26</x:f>
        <x:v>4.884871620946582</x:v>
      </x:c>
      <x:c r="D26" s="96" t="str">
        <x:v>Sujeito à validação contábil</x:v>
      </x:c>
      <x:c r="E26" s="96"/>
      <x:c r="F26" s="96"/>
      <x:c r="G26" s="96"/>
      <x:c r="H26" s="96"/>
    </x:row>
    <x:row r="27">
      <x:c r="A27" s="96"/>
      <x:c r="B27" s="96"/>
      <x:c r="C27" s="96"/>
      <x:c r="D27" s="96"/>
      <x:c r="E27" s="96"/>
      <x:c r="F27" s="96"/>
      <x:c r="G27" s="96"/>
      <x:c r="H27" s="96"/>
    </x:row>
    <x:row r="28">
      <x:c r="A28" s="48" t="str">
        <x:v>Conclusão: o BESS é peça central do projeto porque absorve parte do excedente do novo FV e desloca energia para o horário de ponta. Peak Shaving e eventual controle de TUSDG são oportunidades adicionais e não foram incluídos no payback-base.</x:v>
      </x:c>
      <x:c r="B28" s="48"/>
      <x:c r="C28" s="48"/>
      <x:c r="D28" s="48"/>
      <x:c r="E28" s="48"/>
      <x:c r="F28" s="48"/>
      <x:c r="G28" s="48"/>
      <x:c r="H28" s="48"/>
    </x:row>
    <x:row r="29">
      <x:c r="A29" s="48"/>
      <x:c r="B29" s="48"/>
      <x:c r="C29" s="48"/>
      <x:c r="D29" s="48"/>
      <x:c r="E29" s="48"/>
      <x:c r="F29" s="48"/>
      <x:c r="G29" s="48"/>
      <x:c r="H29" s="48"/>
    </x:row>
    <x:row r="30">
      <x:c r="A30" s="48"/>
      <x:c r="B30" s="48"/>
      <x:c r="C30" s="48"/>
      <x:c r="D30" s="48"/>
      <x:c r="E30" s="48"/>
      <x:c r="F30" s="48"/>
      <x:c r="G30" s="48"/>
      <x:c r="H30" s="48"/>
    </x:row>
    <x:row r="31">
      <x:c r="A31" s="96"/>
      <x:c r="B31" s="96"/>
      <x:c r="C31" s="96"/>
      <x:c r="D31" s="96"/>
      <x:c r="E31" s="96"/>
      <x:c r="F31" s="96"/>
      <x:c r="G31" s="96"/>
      <x:c r="H31" s="96"/>
    </x:row>
    <x:row r="32">
      <x:c r="A32" s="96"/>
      <x:c r="B32" s="96"/>
      <x:c r="C32" s="96"/>
      <x:c r="D32" s="96"/>
      <x:c r="E32" s="96"/>
      <x:c r="F32" s="96"/>
      <x:c r="G32" s="96"/>
      <x:c r="H32" s="96"/>
    </x:row>
    <x:row r="33">
      <x:c r="A33" s="96"/>
      <x:c r="B33" s="96"/>
      <x:c r="C33" s="96"/>
      <x:c r="D33" s="96"/>
      <x:c r="E33" s="96"/>
      <x:c r="F33" s="96"/>
      <x:c r="G33" s="96"/>
      <x:c r="H33" s="96"/>
    </x:row>
    <x:row r="34">
      <x:c r="A34" s="96"/>
      <x:c r="B34" s="96"/>
      <x:c r="C34" s="96"/>
      <x:c r="D34" s="96"/>
      <x:c r="E34" s="96"/>
      <x:c r="F34" s="96"/>
      <x:c r="G34" s="96"/>
      <x:c r="H34" s="96"/>
    </x:row>
    <x:row r="35">
      <x:c r="A35" s="96"/>
      <x:c r="B35" s="96"/>
      <x:c r="C35" s="96"/>
      <x:c r="D35" s="96"/>
      <x:c r="E35" s="96"/>
      <x:c r="F35" s="96"/>
      <x:c r="G35" s="96"/>
      <x:c r="H35" s="96"/>
    </x:row>
    <x:row r="36">
      <x:c r="A36" s="96"/>
      <x:c r="B36" s="96"/>
      <x:c r="C36" s="96"/>
      <x:c r="D36" s="96"/>
      <x:c r="E36" s="96"/>
      <x:c r="F36" s="96"/>
      <x:c r="G36" s="96"/>
      <x:c r="H36" s="96"/>
    </x:row>
    <x:row r="37">
      <x:c r="A37" s="96"/>
      <x:c r="B37" s="96"/>
      <x:c r="C37" s="96"/>
      <x:c r="D37" s="96"/>
      <x:c r="E37" s="96"/>
      <x:c r="F37" s="96"/>
      <x:c r="G37" s="96"/>
      <x:c r="H37" s="96"/>
    </x:row>
    <x:row r="38">
      <x:c r="A38" s="96"/>
      <x:c r="B38" s="96"/>
      <x:c r="C38" s="96"/>
      <x:c r="D38" s="96"/>
      <x:c r="E38" s="96"/>
      <x:c r="F38" s="96"/>
      <x:c r="G38" s="96"/>
      <x:c r="H38" s="96"/>
    </x:row>
    <x:row r="39">
      <x:c r="A39" s="96"/>
      <x:c r="B39" s="96"/>
      <x:c r="C39" s="96"/>
      <x:c r="D39" s="96"/>
      <x:c r="E39" s="96"/>
      <x:c r="F39" s="96"/>
      <x:c r="G39" s="96"/>
      <x:c r="H39" s="96"/>
    </x:row>
    <x:row r="40">
      <x:c r="A40" s="96"/>
      <x:c r="B40" s="96"/>
      <x:c r="C40" s="96"/>
      <x:c r="D40" s="96"/>
      <x:c r="E40" s="96"/>
      <x:c r="F40" s="96"/>
      <x:c r="G40" s="96"/>
      <x:c r="H40" s="96"/>
    </x:row>
  </x:sheetData>
  <x:mergeCells>
    <x:mergeCell ref="A1:H1"/>
    <x:mergeCell ref="A2:H2"/>
    <x:mergeCell ref="A4:H4"/>
    <x:mergeCell ref="A11:H11"/>
    <x:mergeCell ref="A20:H20"/>
    <x:mergeCell ref="A28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8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95" t="str">
        <x:v>PREMISSAS DO MODELO</x:v>
      </x:c>
      <x:c r="B1" s="95"/>
      <x:c r="C1" s="95"/>
      <x:c r="D1" s="95"/>
      <x:c r="E1" s="95"/>
      <x:c r="F1" s="95"/>
      <x:c r="G1" s="95"/>
      <x:c r="H1" s="95"/>
    </x:row>
    <x:row r="2" ht="28" customHeight="1">
      <x:c r="A2" s="77" t="str">
        <x:v>Células azuis = entradas/hipóteses; fórmulas em preto.</x:v>
      </x:c>
      <x:c r="B2" s="77"/>
      <x:c r="C2" s="77"/>
      <x:c r="D2" s="77"/>
      <x:c r="E2" s="77"/>
      <x:c r="F2" s="77"/>
      <x:c r="G2" s="77"/>
      <x:c r="H2" s="77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22" t="str">
        <x:v>Premissa</x:v>
      </x:c>
      <x:c r="B4" s="22" t="str">
        <x:v>Valor</x:v>
      </x:c>
      <x:c r="C4" s="22" t="str">
        <x:v>Unidade / comentário</x:v>
      </x:c>
      <x:c r="D4" s="96"/>
      <x:c r="E4" s="96"/>
      <x:c r="F4" s="96"/>
      <x:c r="G4" s="96"/>
      <x:c r="H4" s="96"/>
    </x:row>
    <x:row r="5">
      <x:c r="A5" s="96" t="str">
        <x:v>FV adicional</x:v>
      </x:c>
      <x:c r="B5" s="98" t="n">
        <x:v>112.5</x:v>
      </x:c>
      <x:c r="C5" s="96" t="str">
        <x:v>kWp</x:v>
      </x:c>
      <x:c r="D5" s="96"/>
      <x:c r="E5" s="96"/>
      <x:c r="F5" s="96"/>
      <x:c r="G5" s="96"/>
      <x:c r="H5" s="96"/>
    </x:row>
    <x:row r="6">
      <x:c r="A6" s="96" t="str">
        <x:v>Inversor FV</x:v>
      </x:c>
      <x:c r="B6" s="98" t="n">
        <x:v>75</x:v>
      </x:c>
      <x:c r="C6" s="96" t="str">
        <x:v>kW AC</x:v>
      </x:c>
      <x:c r="D6" s="96"/>
      <x:c r="E6" s="96"/>
      <x:c r="F6" s="96"/>
      <x:c r="G6" s="96"/>
      <x:c r="H6" s="96"/>
    </x:row>
    <x:row r="7">
      <x:c r="A7" s="96" t="str">
        <x:v>BESS potência</x:v>
      </x:c>
      <x:c r="B7" s="98" t="n">
        <x:v>125</x:v>
      </x:c>
      <x:c r="C7" s="96" t="str">
        <x:v>kW</x:v>
      </x:c>
      <x:c r="D7" s="96"/>
      <x:c r="E7" s="96"/>
      <x:c r="F7" s="96"/>
      <x:c r="G7" s="96"/>
      <x:c r="H7" s="96"/>
    </x:row>
    <x:row r="8">
      <x:c r="A8" s="96" t="str">
        <x:v>BESS capacidade</x:v>
      </x:c>
      <x:c r="B8" s="98" t="n">
        <x:v>277</x:v>
      </x:c>
      <x:c r="C8" s="96" t="str">
        <x:v>kWh</x:v>
      </x:c>
      <x:c r="D8" s="96"/>
      <x:c r="E8" s="96"/>
      <x:c r="F8" s="96"/>
      <x:c r="G8" s="96"/>
      <x:c r="H8" s="96"/>
    </x:row>
    <x:row r="9">
      <x:c r="A9" s="96" t="str">
        <x:v>Capacidade utilizável</x:v>
      </x:c>
      <x:c r="B9" s="121" t="n">
        <x:v>0.9</x:v>
      </x:c>
      <x:c r="C9" s="96" t="str">
        <x:v>% da capacidade nominal</x:v>
      </x:c>
      <x:c r="D9" s="96"/>
      <x:c r="E9" s="96"/>
      <x:c r="F9" s="96"/>
      <x:c r="G9" s="96"/>
      <x:c r="H9" s="96"/>
    </x:row>
    <x:row r="10">
      <x:c r="A10" s="96" t="str">
        <x:v>Eficiência round-trip</x:v>
      </x:c>
      <x:c r="B10" s="121" t="n">
        <x:v>0.9</x:v>
      </x:c>
      <x:c r="C10" s="96" t="str">
        <x:v>%</x:v>
      </x:c>
      <x:c r="D10" s="96"/>
      <x:c r="E10" s="96"/>
      <x:c r="F10" s="96"/>
      <x:c r="G10" s="96"/>
      <x:c r="H10" s="96"/>
    </x:row>
    <x:row r="11">
      <x:c r="A11" s="96" t="str">
        <x:v>Produtividade FV adotada</x:v>
      </x:c>
      <x:c r="B11" s="98" t="n">
        <x:v>1370</x:v>
      </x:c>
      <x:c r="C11" s="96" t="str">
        <x:v>kWh/kWp.ano</x:v>
      </x:c>
      <x:c r="D11" s="96"/>
      <x:c r="E11" s="96"/>
      <x:c r="F11" s="96"/>
      <x:c r="G11" s="96"/>
      <x:c r="H11" s="96"/>
    </x:row>
    <x:row r="12">
      <x:c r="A12" s="96" t="str">
        <x:v>Tarifa ponta</x:v>
      </x:c>
      <x:c r="B12" s="98" t="n">
        <x:v>2.96861</x:v>
      </x:c>
      <x:c r="C12" s="96" t="str">
        <x:v>R$/kWh</x:v>
      </x:c>
      <x:c r="D12" s="96"/>
      <x:c r="E12" s="96"/>
      <x:c r="F12" s="96"/>
      <x:c r="G12" s="96"/>
      <x:c r="H12" s="96"/>
    </x:row>
    <x:row r="13">
      <x:c r="A13" s="96" t="str">
        <x:v>Tarifa fora ponta</x:v>
      </x:c>
      <x:c r="B13" s="98" t="n">
        <x:v>0.58204</x:v>
      </x:c>
      <x:c r="C13" s="96" t="str">
        <x:v>R$/kWh</x:v>
      </x:c>
      <x:c r="D13" s="96"/>
      <x:c r="E13" s="96"/>
      <x:c r="F13" s="96"/>
      <x:c r="G13" s="96"/>
      <x:c r="H13" s="96"/>
    </x:row>
    <x:row r="14">
      <x:c r="A14" s="96" t="str">
        <x:v>Demanda contratada consumo</x:v>
      </x:c>
      <x:c r="B14" s="122" t="n">
        <x:v>200</x:v>
      </x:c>
      <x:c r="C14" s="96" t="str">
        <x:v>kW</x:v>
      </x:c>
      <x:c r="D14" s="96"/>
      <x:c r="E14" s="96"/>
      <x:c r="F14" s="96"/>
      <x:c r="G14" s="96"/>
      <x:c r="H14" s="96"/>
    </x:row>
    <x:row r="15">
      <x:c r="A15" s="96" t="str">
        <x:v>TUSDG contratada</x:v>
      </x:c>
      <x:c r="B15" s="98" t="n">
        <x:v>100</x:v>
      </x:c>
      <x:c r="C15" s="96" t="str">
        <x:v>kW</x:v>
      </x:c>
      <x:c r="D15" s="96"/>
      <x:c r="E15" s="96"/>
      <x:c r="F15" s="96"/>
      <x:c r="G15" s="96"/>
      <x:c r="H15" s="96"/>
    </x:row>
    <x:row r="16">
      <x:c r="A16" s="96" t="str">
        <x:v>Trafo existente</x:v>
      </x:c>
      <x:c r="B16" s="98" t="n">
        <x:v>225</x:v>
      </x:c>
      <x:c r="C16" s="96" t="str">
        <x:v>kVA</x:v>
      </x:c>
      <x:c r="D16" s="96"/>
      <x:c r="E16" s="96"/>
      <x:c r="F16" s="96"/>
      <x:c r="G16" s="96"/>
      <x:c r="H16" s="96"/>
    </x:row>
    <x:row r="17">
      <x:c r="A17" s="96" t="str">
        <x:v>Inversores existentes</x:v>
      </x:c>
      <x:c r="B17" s="98" t="n">
        <x:v>136</x:v>
      </x:c>
      <x:c r="C17" s="96" t="str">
        <x:v>kW AC</x:v>
      </x:c>
      <x:c r="D17" s="96"/>
      <x:c r="E17" s="96"/>
      <x:c r="F17" s="96"/>
      <x:c r="G17" s="96"/>
      <x:c r="H17" s="96"/>
    </x:row>
    <x:row r="18">
      <x:c r="A18" s="96" t="str">
        <x:v>Margem preliminar trafo</x:v>
      </x:c>
      <x:c r="B18" s="141" t="n">
        <x:f>B16-B17</x:f>
        <x:v>89</x:v>
      </x:c>
      <x:c r="C18" s="96" t="str">
        <x:v>kW ≈ kVA, FP próximo de 1</x:v>
      </x:c>
      <x:c r="D18" s="96"/>
      <x:c r="E18" s="96"/>
      <x:c r="F18" s="96"/>
      <x:c r="G18" s="96"/>
      <x:c r="H18" s="96"/>
    </x:row>
    <x:row r="19">
      <x:c r="A19" s="96" t="str">
        <x:v>CAPEX total</x:v>
      </x:c>
      <x:c r="B19" s="96" t="n">
        <x:v>929000</x:v>
      </x:c>
      <x:c r="C19" s="96" t="str">
        <x:v>R$</x:v>
      </x:c>
      <x:c r="D19" s="96"/>
      <x:c r="E19" s="96"/>
      <x:c r="F19" s="96"/>
      <x:c r="G19" s="96"/>
      <x:c r="H19" s="96"/>
    </x:row>
    <x:row r="20">
      <x:c r="A20" s="62" t="str">
        <x:v>Notas: (1) a margem de 89 kW é uma leitura preliminar de capacidade, não substitui a análise/aprovação da Energisa. (2) A produtividade de 1.370 kWh/kWp.ano é premissa de modelagem e deve ser validada no projeto executivo/PVSyst. (3) Benefícios fiscais dependem do enquadramento e validação do contador do cliente.</x:v>
      </x:c>
      <x:c r="B20" s="62"/>
      <x:c r="C20" s="62"/>
      <x:c r="D20" s="62"/>
      <x:c r="E20" s="62"/>
      <x:c r="F20" s="62"/>
      <x:c r="G20" s="62"/>
      <x:c r="H20" s="62"/>
    </x:row>
    <x:row r="21">
      <x:c r="A21" s="62"/>
      <x:c r="B21" s="62"/>
      <x:c r="C21" s="62"/>
      <x:c r="D21" s="62"/>
      <x:c r="E21" s="62"/>
      <x:c r="F21" s="62"/>
      <x:c r="G21" s="62"/>
      <x:c r="H21" s="62"/>
    </x:row>
    <x:row r="22">
      <x:c r="A22" s="62"/>
      <x:c r="B22" s="62"/>
      <x:c r="C22" s="62"/>
      <x:c r="D22" s="62"/>
      <x:c r="E22" s="62"/>
      <x:c r="F22" s="62"/>
      <x:c r="G22" s="62"/>
      <x:c r="H22" s="62"/>
    </x:row>
    <x:row r="23">
      <x:c r="A23" s="62"/>
      <x:c r="B23" s="62"/>
      <x:c r="C23" s="62"/>
      <x:c r="D23" s="62"/>
      <x:c r="E23" s="62"/>
      <x:c r="F23" s="62"/>
      <x:c r="G23" s="62"/>
      <x:c r="H23" s="62"/>
    </x:row>
    <x:row r="24">
      <x:c r="A24" s="96"/>
      <x:c r="B24" s="96"/>
      <x:c r="C24" s="96"/>
      <x:c r="D24" s="96"/>
      <x:c r="E24" s="96"/>
      <x:c r="F24" s="96"/>
      <x:c r="G24" s="96"/>
      <x:c r="H24" s="96"/>
    </x:row>
    <x:row r="25">
      <x:c r="A25" s="96"/>
      <x:c r="B25" s="96"/>
      <x:c r="C25" s="96"/>
      <x:c r="D25" s="96"/>
      <x:c r="E25" s="96"/>
      <x:c r="F25" s="96"/>
      <x:c r="G25" s="96"/>
      <x:c r="H25" s="96"/>
    </x:row>
    <x:row r="26">
      <x:c r="A26" s="96"/>
      <x:c r="B26" s="96"/>
      <x:c r="C26" s="96"/>
      <x:c r="D26" s="96"/>
      <x:c r="E26" s="96"/>
      <x:c r="F26" s="96"/>
      <x:c r="G26" s="96"/>
      <x:c r="H26" s="96"/>
    </x:row>
    <x:row r="27">
      <x:c r="A27" s="96"/>
      <x:c r="B27" s="96"/>
      <x:c r="C27" s="96"/>
      <x:c r="D27" s="96"/>
      <x:c r="E27" s="96"/>
      <x:c r="F27" s="96"/>
      <x:c r="G27" s="96"/>
      <x:c r="H27" s="96"/>
    </x:row>
    <x:row r="28">
      <x:c r="A28" s="96"/>
      <x:c r="B28" s="96"/>
      <x:c r="C28" s="96"/>
      <x:c r="D28" s="96"/>
      <x:c r="E28" s="96"/>
      <x:c r="F28" s="96"/>
      <x:c r="G28" s="96"/>
      <x:c r="H28" s="96"/>
    </x:row>
    <x:row r="29">
      <x:c r="A29" s="96"/>
      <x:c r="B29" s="96"/>
      <x:c r="C29" s="96"/>
      <x:c r="D29" s="96"/>
      <x:c r="E29" s="96"/>
      <x:c r="F29" s="96"/>
      <x:c r="G29" s="96"/>
      <x:c r="H29" s="96"/>
    </x:row>
    <x:row r="30">
      <x:c r="A30" s="96"/>
      <x:c r="B30" s="96"/>
      <x:c r="C30" s="96"/>
      <x:c r="D30" s="96"/>
      <x:c r="E30" s="96"/>
      <x:c r="F30" s="96"/>
      <x:c r="G30" s="96"/>
      <x:c r="H30" s="96"/>
    </x:row>
    <x:row r="31">
      <x:c r="A31" s="96"/>
      <x:c r="B31" s="96"/>
      <x:c r="C31" s="96"/>
      <x:c r="D31" s="96"/>
      <x:c r="E31" s="96"/>
      <x:c r="F31" s="96"/>
      <x:c r="G31" s="96"/>
      <x:c r="H31" s="96"/>
    </x:row>
    <x:row r="32">
      <x:c r="A32" s="96"/>
      <x:c r="B32" s="96"/>
      <x:c r="C32" s="96"/>
      <x:c r="D32" s="96"/>
      <x:c r="E32" s="96"/>
      <x:c r="F32" s="96"/>
      <x:c r="G32" s="96"/>
      <x:c r="H32" s="96"/>
    </x:row>
    <x:row r="33">
      <x:c r="A33" s="96"/>
      <x:c r="B33" s="96"/>
      <x:c r="C33" s="96"/>
      <x:c r="D33" s="96"/>
      <x:c r="E33" s="96"/>
      <x:c r="F33" s="96"/>
      <x:c r="G33" s="96"/>
      <x:c r="H33" s="96"/>
    </x:row>
    <x:row r="34">
      <x:c r="A34" s="96"/>
      <x:c r="B34" s="96"/>
      <x:c r="C34" s="96"/>
      <x:c r="D34" s="96"/>
      <x:c r="E34" s="96"/>
      <x:c r="F34" s="96"/>
      <x:c r="G34" s="96"/>
      <x:c r="H34" s="96"/>
    </x:row>
    <x:row r="35">
      <x:c r="A35" s="96"/>
      <x:c r="B35" s="96"/>
      <x:c r="C35" s="96"/>
      <x:c r="D35" s="96"/>
      <x:c r="E35" s="96"/>
      <x:c r="F35" s="96"/>
      <x:c r="G35" s="96"/>
      <x:c r="H35" s="96"/>
    </x:row>
    <x:row r="36">
      <x:c r="A36" s="96"/>
      <x:c r="B36" s="96"/>
      <x:c r="C36" s="96"/>
      <x:c r="D36" s="96"/>
      <x:c r="E36" s="96"/>
      <x:c r="F36" s="96"/>
      <x:c r="G36" s="96"/>
      <x:c r="H36" s="96"/>
    </x:row>
    <x:row r="37">
      <x:c r="A37" s="96"/>
      <x:c r="B37" s="96"/>
      <x:c r="C37" s="96"/>
      <x:c r="D37" s="96"/>
      <x:c r="E37" s="96"/>
      <x:c r="F37" s="96"/>
      <x:c r="G37" s="96"/>
      <x:c r="H37" s="96"/>
    </x:row>
    <x:row r="38">
      <x:c r="A38" s="96"/>
      <x:c r="B38" s="96"/>
      <x:c r="C38" s="96"/>
      <x:c r="D38" s="96"/>
      <x:c r="E38" s="96"/>
      <x:c r="F38" s="96"/>
      <x:c r="G38" s="96"/>
      <x:c r="H38" s="96"/>
    </x:row>
    <x:row r="39">
      <x:c r="A39" s="96"/>
      <x:c r="B39" s="96"/>
      <x:c r="C39" s="96"/>
      <x:c r="D39" s="96"/>
      <x:c r="E39" s="96"/>
      <x:c r="F39" s="96"/>
      <x:c r="G39" s="96"/>
      <x:c r="H39" s="96"/>
    </x:row>
    <x:row r="40">
      <x:c r="A40" s="96"/>
      <x:c r="B40" s="96"/>
      <x:c r="C40" s="96"/>
      <x:c r="D40" s="96"/>
      <x:c r="E40" s="96"/>
      <x:c r="F40" s="96"/>
      <x:c r="G40" s="96"/>
      <x:c r="H40" s="96"/>
    </x:row>
  </x:sheetData>
  <x:mergeCells>
    <x:mergeCell ref="A1:H1"/>
    <x:mergeCell ref="A2:H2"/>
    <x:mergeCell ref="A20:H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45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95" t="str">
        <x:v>MEMÓRIA DE MASSA | MÉTRICAS CONSOLIDADAS</x:v>
      </x:c>
      <x:c r="B1" s="95"/>
      <x:c r="C1" s="95"/>
      <x:c r="D1" s="95"/>
      <x:c r="E1" s="95"/>
      <x:c r="F1" s="95"/>
      <x:c r="G1" s="95"/>
      <x:c r="H1" s="95"/>
    </x:row>
    <x:row r="2" ht="28" customHeight="1">
      <x:c r="A2" s="77" t="str">
        <x:v>Síntese dos intervalos de 15 minutos usados para dimensionamento e despacho.</x:v>
      </x:c>
      <x:c r="B2" s="77"/>
      <x:c r="C2" s="77"/>
      <x:c r="D2" s="77"/>
      <x:c r="E2" s="77"/>
      <x:c r="F2" s="77"/>
      <x:c r="G2" s="77"/>
      <x:c r="H2" s="77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 ht="22" customHeight="1">
      <x:c r="A4" s="97" t="str">
        <x:v>CONSUMO, GERAÇÃO E EXPORTAÇÃO</x:v>
      </x:c>
      <x:c r="B4" s="97" t="str">
        <x:v>CONSUMO, GERAÇÃO E EXPORTAÇÃO</x:v>
      </x:c>
      <x:c r="C4" s="97" t="str">
        <x:v>CONSUMO, GERAÇÃO E EXPORTAÇÃO</x:v>
      </x:c>
      <x:c r="D4" s="97" t="str">
        <x:v>CONSUMO, GERAÇÃO E EXPORTAÇÃO</x:v>
      </x:c>
      <x:c r="E4" s="97" t="str">
        <x:v>CONSUMO, GERAÇÃO E EXPORTAÇÃO</x:v>
      </x:c>
      <x:c r="F4" s="97" t="str">
        <x:v>CONSUMO, GERAÇÃO E EXPORTAÇÃO</x:v>
      </x:c>
      <x:c r="G4" s="97" t="str">
        <x:v>CONSUMO, GERAÇÃO E EXPORTAÇÃO</x:v>
      </x:c>
      <x:c r="H4" s="97" t="str">
        <x:v>CONSUMO, GERAÇÃO E EXPORTAÇÃO</x:v>
      </x:c>
    </x:row>
    <x:row r="5">
      <x:c r="A5" s="22" t="str">
        <x:v>Período</x:v>
      </x:c>
      <x:c r="B5" s="22" t="str">
        <x:v>Importação</x:v>
      </x:c>
      <x:c r="C5" s="22" t="str">
        <x:v>Exportação</x:v>
      </x:c>
      <x:c r="D5" s="22" t="str">
        <x:v>Geração FV atual</x:v>
      </x:c>
      <x:c r="E5" s="22" t="str">
        <x:v>Carga bruta estimada</x:v>
      </x:c>
      <x:c r="F5" s="96"/>
      <x:c r="G5" s="96"/>
      <x:c r="H5" s="96"/>
    </x:row>
    <x:row r="6">
      <x:c r="A6" s="96" t="str">
        <x:v>2025 – média mensal</x:v>
      </x:c>
      <x:c r="B6" s="133" t="n">
        <x:v>29.5</x:v>
      </x:c>
      <x:c r="C6" s="133" t="n">
        <x:v>8.1</x:v>
      </x:c>
      <x:c r="D6" s="133" t="n">
        <x:v>21.5</x:v>
      </x:c>
      <x:c r="E6" s="133" t="n">
        <x:v>42.9</x:v>
      </x:c>
      <x:c r="F6" s="96"/>
      <x:c r="G6" s="96"/>
      <x:c r="H6" s="96"/>
    </x:row>
    <x:row r="7">
      <x:c r="A7" s="96" t="str">
        <x:v>Jan–Mai/26 – média mensal</x:v>
      </x:c>
      <x:c r="B7" s="133" t="n">
        <x:v>31</x:v>
      </x:c>
      <x:c r="C7" s="133" t="n">
        <x:v>4.6</x:v>
      </x:c>
      <x:c r="D7" s="133" t="n">
        <x:v>21.1</x:v>
      </x:c>
      <x:c r="E7" s="133" t="n">
        <x:v>47.5</x:v>
      </x:c>
      <x:c r="F7" s="96"/>
      <x:c r="G7" s="96"/>
      <x:c r="H7" s="96"/>
    </x:row>
    <x:row r="8">
      <x:c r="A8" s="96" t="str"/>
      <x:c r="B8" s="96" t="str"/>
      <x:c r="C8" s="96" t="str"/>
      <x:c r="D8" s="96" t="str"/>
      <x:c r="E8" s="96" t="str"/>
      <x:c r="F8" s="96"/>
      <x:c r="G8" s="96"/>
      <x:c r="H8" s="96"/>
    </x:row>
    <x:row r="9">
      <x:c r="A9" s="22" t="str">
        <x:v>Indicador</x:v>
      </x:c>
      <x:c r="B9" s="22" t="str">
        <x:v>Valor</x:v>
      </x:c>
      <x:c r="C9" s="22" t="str">
        <x:v>Unidade</x:v>
      </x:c>
      <x:c r="D9" s="22" t="str">
        <x:v>Leitura</x:v>
      </x:c>
      <x:c r="E9" s="22" t="str"/>
      <x:c r="F9" s="96"/>
      <x:c r="G9" s="96"/>
      <x:c r="H9" s="96"/>
    </x:row>
    <x:row r="10">
      <x:c r="A10" s="96" t="str">
        <x:v>Importação média 10h–15h</x:v>
      </x:c>
      <x:c r="B10" s="96" t="n">
        <x:v>29</x:v>
      </x:c>
      <x:c r="C10" s="96" t="str">
        <x:v>kW</x:v>
      </x:c>
      <x:c r="D10" s="96" t="str">
        <x:v>Baixa importação diurna devido ao FV existente</x:v>
      </x:c>
      <x:c r="E10" s="96" t="str"/>
      <x:c r="F10" s="96"/>
      <x:c r="G10" s="96"/>
      <x:c r="H10" s="96"/>
    </x:row>
    <x:row r="11">
      <x:c r="A11" s="96" t="str">
        <x:v>Intervalos diurnos com exportação</x:v>
      </x:c>
      <x:c r="B11" s="134" t="n">
        <x:v>0.48</x:v>
      </x:c>
      <x:c r="C11" s="96" t="str">
        <x:v>%</x:v>
      </x:c>
      <x:c r="D11" s="96" t="str">
        <x:v>Indica risco de curtailment no Grid Zero sem BESS</x:v>
      </x:c>
      <x:c r="E11" s="96" t="str"/>
      <x:c r="F11" s="96"/>
      <x:c r="G11" s="96"/>
      <x:c r="H11" s="96"/>
    </x:row>
    <x:row r="12">
      <x:c r="A12" s="96" t="str">
        <x:v>Demanda máxima observada</x:v>
      </x:c>
      <x:c r="B12" s="96" t="n">
        <x:v>205.656</x:v>
      </x:c>
      <x:c r="C12" s="96" t="str">
        <x:v>kW</x:v>
      </x:c>
      <x:c r="D12" s="96" t="str">
        <x:v>03/10/2025 às 18:00</x:v>
      </x:c>
      <x:c r="E12" s="96" t="str"/>
      <x:c r="F12" s="96"/>
      <x:c r="G12" s="96"/>
      <x:c r="H12" s="96"/>
    </x:row>
    <x:row r="13">
      <x:c r="A13" s="96"/>
      <x:c r="B13" s="96"/>
      <x:c r="C13" s="96"/>
      <x:c r="D13" s="96"/>
      <x:c r="E13" s="96"/>
      <x:c r="F13" s="96"/>
      <x:c r="G13" s="96"/>
      <x:c r="H13" s="96"/>
    </x:row>
    <x:row r="14" ht="22" customHeight="1">
      <x:c r="A14" s="97" t="str">
        <x:v>PEAK SHAVING – POTENCIAL TÉCNICO (NÃO INCLUÍDO NO PAYBACK-BASE)</x:v>
      </x:c>
      <x:c r="B14" s="97" t="str">
        <x:v>PEAK SHAVING – POTENCIAL TÉCNICO (NÃO INCLUÍDO NO PAYBACK-BASE)</x:v>
      </x:c>
      <x:c r="C14" s="97" t="str">
        <x:v>PEAK SHAVING – POTENCIAL TÉCNICO (NÃO INCLUÍDO NO PAYBACK-BASE)</x:v>
      </x:c>
      <x:c r="D14" s="97" t="str">
        <x:v>PEAK SHAVING – POTENCIAL TÉCNICO (NÃO INCLUÍDO NO PAYBACK-BASE)</x:v>
      </x:c>
      <x:c r="E14" s="97" t="str">
        <x:v>PEAK SHAVING – POTENCIAL TÉCNICO (NÃO INCLUÍDO NO PAYBACK-BASE)</x:v>
      </x:c>
      <x:c r="F14" s="97" t="str">
        <x:v>PEAK SHAVING – POTENCIAL TÉCNICO (NÃO INCLUÍDO NO PAYBACK-BASE)</x:v>
      </x:c>
      <x:c r="G14" s="97" t="str">
        <x:v>PEAK SHAVING – POTENCIAL TÉCNICO (NÃO INCLUÍDO NO PAYBACK-BASE)</x:v>
      </x:c>
      <x:c r="H14" s="97" t="str">
        <x:v>PEAK SHAVING – POTENCIAL TÉCNICO (NÃO INCLUÍDO NO PAYBACK-BASE)</x:v>
      </x:c>
    </x:row>
    <x:row r="15">
      <x:c r="A15" s="22" t="str">
        <x:v>Meta de demanda</x:v>
      </x:c>
      <x:c r="B15" s="22" t="str">
        <x:v>Potência BESS necessária</x:v>
      </x:c>
      <x:c r="C15" s="22" t="str">
        <x:v>Energia diária máxima</x:v>
      </x:c>
      <x:c r="D15" s="22" t="str">
        <x:v>Leitura</x:v>
      </x:c>
      <x:c r="E15" s="96"/>
      <x:c r="F15" s="96"/>
      <x:c r="G15" s="96"/>
      <x:c r="H15" s="96"/>
    </x:row>
    <x:row r="16">
      <x:c r="A16" s="133" t="n">
        <x:v>190</x:v>
      </x:c>
      <x:c r="B16" s="133" t="n">
        <x:v>15.7</x:v>
      </x:c>
      <x:c r="C16" s="133" t="n">
        <x:v>26.1</x:v>
      </x:c>
      <x:c r="D16" s="96" t="str">
        <x:v>Folga elevada</x:v>
      </x:c>
      <x:c r="E16" s="96"/>
      <x:c r="F16" s="96"/>
      <x:c r="G16" s="96"/>
      <x:c r="H16" s="96"/>
    </x:row>
    <x:row r="17">
      <x:c r="A17" s="133" t="n">
        <x:v>180</x:v>
      </x:c>
      <x:c r="B17" s="133" t="n">
        <x:v>25.7</x:v>
      </x:c>
      <x:c r="C17" s="133" t="n">
        <x:v>58.2</x:v>
      </x:c>
      <x:c r="D17" s="96" t="str">
        <x:v>Folga elevada</x:v>
      </x:c>
      <x:c r="E17" s="96"/>
      <x:c r="F17" s="96"/>
      <x:c r="G17" s="96"/>
      <x:c r="H17" s="96"/>
    </x:row>
    <x:row r="18">
      <x:c r="A18" s="133" t="n">
        <x:v>170</x:v>
      </x:c>
      <x:c r="B18" s="133" t="n">
        <x:v>35.7</x:v>
      </x:c>
      <x:c r="C18" s="133" t="n">
        <x:v>105.4</x:v>
      </x:c>
      <x:c r="D18" s="96" t="str">
        <x:v>Compatível</x:v>
      </x:c>
      <x:c r="E18" s="96"/>
      <x:c r="F18" s="96"/>
      <x:c r="G18" s="96"/>
      <x:c r="H18" s="96"/>
    </x:row>
    <x:row r="19">
      <x:c r="A19" s="133" t="n">
        <x:v>160</x:v>
      </x:c>
      <x:c r="B19" s="133" t="n">
        <x:v>45.7</x:v>
      </x:c>
      <x:c r="C19" s="133" t="n">
        <x:v>165.1</x:v>
      </x:c>
      <x:c r="D19" s="96" t="str">
        <x:v>Compatível, requer gestão de SOC</x:v>
      </x:c>
      <x:c r="E19" s="96"/>
      <x:c r="F19" s="96"/>
      <x:c r="G19" s="96"/>
      <x:c r="H19" s="96"/>
    </x:row>
    <x:row r="20">
      <x:c r="A20" s="96"/>
      <x:c r="B20" s="96"/>
      <x:c r="C20" s="96"/>
      <x:c r="D20" s="96"/>
      <x:c r="E20" s="96"/>
      <x:c r="F20" s="96"/>
      <x:c r="G20" s="96"/>
      <x:c r="H20" s="96"/>
    </x:row>
    <x:row r="21" ht="22" customHeight="1">
      <x:c r="A21" s="97" t="str">
        <x:v>TUSDG / EXPORTAÇÃO</x:v>
      </x:c>
      <x:c r="B21" s="97" t="str">
        <x:v>TUSDG / EXPORTAÇÃO</x:v>
      </x:c>
      <x:c r="C21" s="97" t="str">
        <x:v>TUSDG / EXPORTAÇÃO</x:v>
      </x:c>
      <x:c r="D21" s="97" t="str">
        <x:v>TUSDG / EXPORTAÇÃO</x:v>
      </x:c>
      <x:c r="E21" s="97" t="str">
        <x:v>TUSDG / EXPORTAÇÃO</x:v>
      </x:c>
      <x:c r="F21" s="97" t="str">
        <x:v>TUSDG / EXPORTAÇÃO</x:v>
      </x:c>
      <x:c r="G21" s="97" t="str">
        <x:v>TUSDG / EXPORTAÇÃO</x:v>
      </x:c>
      <x:c r="H21" s="97" t="str">
        <x:v>TUSDG / EXPORTAÇÃO</x:v>
      </x:c>
    </x:row>
    <x:row r="22">
      <x:c r="A22" s="129" t="str">
        <x:v>A TUSDG de 100 kW permanece tecnicamente coerente enquanto a GD existente continuar exportando. Foram observadas exportações próximas/superiores a 100 kW, e a fatura registra ultrapassagem de TUSDG. O EMS/BESS pode auxiliar no controle de exportação, mas esse ganho não integra o payback-base.</x:v>
      </x:c>
      <x:c r="B22" s="129"/>
      <x:c r="C22" s="129"/>
      <x:c r="D22" s="129"/>
      <x:c r="E22" s="129"/>
      <x:c r="F22" s="129"/>
      <x:c r="G22" s="129"/>
      <x:c r="H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</x:row>
    <x:row r="26">
      <x:c r="A26" s="96"/>
      <x:c r="B26" s="96"/>
      <x:c r="C26" s="96"/>
      <x:c r="D26" s="96"/>
      <x:c r="E26" s="96"/>
      <x:c r="F26" s="96"/>
      <x:c r="G26" s="96"/>
      <x:c r="H26" s="96"/>
    </x:row>
    <x:row r="27">
      <x:c r="A27" s="96"/>
      <x:c r="B27" s="96"/>
      <x:c r="C27" s="96"/>
      <x:c r="D27" s="96"/>
      <x:c r="E27" s="96"/>
      <x:c r="F27" s="96"/>
      <x:c r="G27" s="96"/>
      <x:c r="H27" s="96"/>
    </x:row>
    <x:row r="28">
      <x:c r="A28" s="96"/>
      <x:c r="B28" s="96"/>
      <x:c r="C28" s="96"/>
      <x:c r="D28" s="96"/>
      <x:c r="E28" s="96"/>
      <x:c r="F28" s="96"/>
      <x:c r="G28" s="96"/>
      <x:c r="H28" s="96"/>
    </x:row>
    <x:row r="29">
      <x:c r="A29" s="96"/>
      <x:c r="B29" s="96"/>
      <x:c r="C29" s="96"/>
      <x:c r="D29" s="96"/>
      <x:c r="E29" s="96"/>
      <x:c r="F29" s="96"/>
      <x:c r="G29" s="96"/>
      <x:c r="H29" s="96"/>
    </x:row>
    <x:row r="30">
      <x:c r="A30" s="96"/>
      <x:c r="B30" s="96"/>
      <x:c r="C30" s="96"/>
      <x:c r="D30" s="96"/>
      <x:c r="E30" s="96"/>
      <x:c r="F30" s="96"/>
      <x:c r="G30" s="96"/>
      <x:c r="H30" s="96"/>
    </x:row>
    <x:row r="31">
      <x:c r="A31" s="96"/>
      <x:c r="B31" s="96"/>
      <x:c r="C31" s="96"/>
      <x:c r="D31" s="96"/>
      <x:c r="E31" s="96"/>
      <x:c r="F31" s="96"/>
      <x:c r="G31" s="96"/>
      <x:c r="H31" s="96"/>
    </x:row>
    <x:row r="32">
      <x:c r="A32" s="96"/>
      <x:c r="B32" s="96"/>
      <x:c r="C32" s="96"/>
      <x:c r="D32" s="96"/>
      <x:c r="E32" s="96"/>
      <x:c r="F32" s="96"/>
      <x:c r="G32" s="96"/>
      <x:c r="H32" s="96"/>
    </x:row>
    <x:row r="33">
      <x:c r="A33" s="96"/>
      <x:c r="B33" s="96"/>
      <x:c r="C33" s="96"/>
      <x:c r="D33" s="96"/>
      <x:c r="E33" s="96"/>
      <x:c r="F33" s="96"/>
      <x:c r="G33" s="96"/>
      <x:c r="H33" s="96"/>
    </x:row>
    <x:row r="34">
      <x:c r="A34" s="96"/>
      <x:c r="B34" s="96"/>
      <x:c r="C34" s="96"/>
      <x:c r="D34" s="96"/>
      <x:c r="E34" s="96"/>
      <x:c r="F34" s="96"/>
      <x:c r="G34" s="96"/>
      <x:c r="H34" s="96"/>
    </x:row>
    <x:row r="35">
      <x:c r="A35" s="96"/>
      <x:c r="B35" s="96"/>
      <x:c r="C35" s="96"/>
      <x:c r="D35" s="96"/>
      <x:c r="E35" s="96"/>
      <x:c r="F35" s="96"/>
      <x:c r="G35" s="96"/>
      <x:c r="H35" s="96"/>
    </x:row>
    <x:row r="36">
      <x:c r="A36" s="96"/>
      <x:c r="B36" s="96"/>
      <x:c r="C36" s="96"/>
      <x:c r="D36" s="96"/>
      <x:c r="E36" s="96"/>
      <x:c r="F36" s="96"/>
      <x:c r="G36" s="96"/>
      <x:c r="H36" s="96"/>
    </x:row>
    <x:row r="37">
      <x:c r="A37" s="96"/>
      <x:c r="B37" s="96"/>
      <x:c r="C37" s="96"/>
      <x:c r="D37" s="96"/>
      <x:c r="E37" s="96"/>
      <x:c r="F37" s="96"/>
      <x:c r="G37" s="96"/>
      <x:c r="H37" s="96"/>
    </x:row>
    <x:row r="38">
      <x:c r="A38" s="96"/>
      <x:c r="B38" s="96"/>
      <x:c r="C38" s="96"/>
      <x:c r="D38" s="96"/>
      <x:c r="E38" s="96"/>
      <x:c r="F38" s="96"/>
      <x:c r="G38" s="96"/>
      <x:c r="H38" s="96"/>
    </x:row>
    <x:row r="39">
      <x:c r="A39" s="96"/>
      <x:c r="B39" s="96"/>
      <x:c r="C39" s="96"/>
      <x:c r="D39" s="96"/>
      <x:c r="E39" s="96"/>
      <x:c r="F39" s="96"/>
      <x:c r="G39" s="96"/>
      <x:c r="H39" s="96"/>
    </x:row>
    <x:row r="40">
      <x:c r="A40" s="96"/>
      <x:c r="B40" s="96"/>
      <x:c r="C40" s="96"/>
      <x:c r="D40" s="96"/>
      <x:c r="E40" s="96"/>
      <x:c r="F40" s="96"/>
      <x:c r="G40" s="96"/>
      <x:c r="H40" s="96"/>
    </x:row>
  </x:sheetData>
  <x:mergeCells>
    <x:mergeCell ref="A1:H1"/>
    <x:mergeCell ref="A2:H2"/>
    <x:mergeCell ref="A4:H4"/>
    <x:mergeCell ref="A14:H14"/>
    <x:mergeCell ref="A21:H21"/>
    <x:mergeCell ref="A22:H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44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95" t="str">
        <x:v>SIMULAÇÃO DE DESPACHO | ANO-BASE 2025</x:v>
      </x:c>
      <x:c r="B1" s="95"/>
      <x:c r="C1" s="95"/>
      <x:c r="D1" s="95"/>
      <x:c r="E1" s="95"/>
      <x:c r="F1" s="95"/>
      <x:c r="G1" s="95"/>
      <x:c r="H1" s="95"/>
    </x:row>
    <x:row r="2" ht="28" customHeight="1">
      <x:c r="A2" s="77" t="str">
        <x:v>Modelo incremental: novo FV atende carga, excedente carrega BESS, rede fora ponta complementa SOC e BESS descarrega prioritariamente na ponta.</x:v>
      </x:c>
      <x:c r="B2" s="77"/>
      <x:c r="C2" s="77"/>
      <x:c r="D2" s="77"/>
      <x:c r="E2" s="77"/>
      <x:c r="F2" s="77"/>
      <x:c r="G2" s="77"/>
      <x:c r="H2" s="77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22" t="str">
        <x:v>Métrica</x:v>
      </x:c>
      <x:c r="B4" s="22" t="str">
        <x:v>Resultado</x:v>
      </x:c>
      <x:c r="C4" s="22" t="str">
        <x:v>Unidade</x:v>
      </x:c>
      <x:c r="D4" s="22" t="str">
        <x:v>Interpretação</x:v>
      </x:c>
      <x:c r="E4" s="96"/>
      <x:c r="F4" s="96"/>
      <x:c r="G4" s="96"/>
      <x:c r="H4" s="96"/>
    </x:row>
    <x:row r="5">
      <x:c r="A5" s="96" t="str">
        <x:v>Geração novo FV</x:v>
      </x:c>
      <x:c r="B5" s="139" t="n">
        <x:v>154.125</x:v>
      </x:c>
      <x:c r="C5" s="96" t="str">
        <x:v>MWh/ano</x:v>
      </x:c>
      <x:c r="D5" s="96" t="str">
        <x:v>112,5 kWp × produtividade modelada</x:v>
      </x:c>
      <x:c r="E5" s="96"/>
      <x:c r="F5" s="96"/>
      <x:c r="G5" s="96"/>
      <x:c r="H5" s="96"/>
    </x:row>
    <x:row r="6">
      <x:c r="A6" s="96" t="str">
        <x:v>Autoconsumo direto novo FV</x:v>
      </x:c>
      <x:c r="B6" s="139" t="n">
        <x:v>54.179</x:v>
      </x:c>
      <x:c r="C6" s="96" t="str">
        <x:v>MWh/ano</x:v>
      </x:c>
      <x:c r="D6" s="96" t="str">
        <x:v>Atendimento direto da carga</x:v>
      </x:c>
      <x:c r="E6" s="96"/>
      <x:c r="F6" s="96"/>
      <x:c r="G6" s="96"/>
      <x:c r="H6" s="96"/>
    </x:row>
    <x:row r="7">
      <x:c r="A7" s="96" t="str">
        <x:v>Excedente novo FV</x:v>
      </x:c>
      <x:c r="B7" s="139" t="n">
        <x:v>99.946</x:v>
      </x:c>
      <x:c r="C7" s="96" t="str">
        <x:v>MWh/ano</x:v>
      </x:c>
      <x:c r="D7" s="96" t="str">
        <x:v>Antes do armazenamento</x:v>
      </x:c>
      <x:c r="E7" s="96"/>
      <x:c r="F7" s="96"/>
      <x:c r="G7" s="96"/>
      <x:c r="H7" s="96"/>
    </x:row>
    <x:row r="8">
      <x:c r="A8" s="96" t="str">
        <x:v>FV enviado ao BESS</x:v>
      </x:c>
      <x:c r="B8" s="139" t="n">
        <x:v>61.076</x:v>
      </x:c>
      <x:c r="C8" s="96" t="str">
        <x:v>MWh/ano</x:v>
      </x:c>
      <x:c r="D8" s="96" t="str">
        <x:v>Recarga solar</x:v>
      </x:c>
      <x:c r="E8" s="96"/>
      <x:c r="F8" s="96"/>
      <x:c r="G8" s="96"/>
      <x:c r="H8" s="96"/>
    </x:row>
    <x:row r="9">
      <x:c r="A9" s="96" t="str">
        <x:v>Recarga complementar rede</x:v>
      </x:c>
      <x:c r="B9" s="139" t="n">
        <x:v>6.3</x:v>
      </x:c>
      <x:c r="C9" s="96" t="str">
        <x:v>MWh/ano</x:v>
      </x:c>
      <x:c r="D9" s="96" t="str">
        <x:v>Fora ponta</x:v>
      </x:c>
      <x:c r="E9" s="96"/>
      <x:c r="F9" s="96"/>
      <x:c r="G9" s="96"/>
      <x:c r="H9" s="96"/>
    </x:row>
    <x:row r="10">
      <x:c r="A10" s="96" t="str">
        <x:v>Descarga BESS entregue</x:v>
      </x:c>
      <x:c r="B10" s="139" t="n">
        <x:v>60.535</x:v>
      </x:c>
      <x:c r="C10" s="96" t="str">
        <x:v>MWh/ano</x:v>
      </x:c>
      <x:c r="D10" s="96" t="str">
        <x:v>Após perdas</x:v>
      </x:c>
      <x:c r="E10" s="96"/>
      <x:c r="F10" s="96"/>
      <x:c r="G10" s="96"/>
      <x:c r="H10" s="96"/>
    </x:row>
    <x:row r="11">
      <x:c r="A11" s="96" t="str">
        <x:v>Curtailment novo FV</x:v>
      </x:c>
      <x:c r="B11" s="139" t="n">
        <x:v>38.869</x:v>
      </x:c>
      <x:c r="C11" s="96" t="str">
        <x:v>MWh/ano</x:v>
      </x:c>
      <x:c r="D11" s="96" t="str">
        <x:v>Excedente não aproveitado</x:v>
      </x:c>
      <x:c r="E11" s="96"/>
      <x:c r="F11" s="96"/>
      <x:c r="G11" s="96"/>
      <x:c r="H11" s="96"/>
    </x:row>
    <x:row r="12">
      <x:c r="A12" s="96" t="str">
        <x:v>Importação ponta – base</x:v>
      </x:c>
      <x:c r="B12" s="139" t="n">
        <x:v>53.199</x:v>
      </x:c>
      <x:c r="C12" s="96" t="str">
        <x:v>MWh/ano</x:v>
      </x:c>
      <x:c r="D12" s="96" t="str">
        <x:v>Antes do projeto</x:v>
      </x:c>
      <x:c r="E12" s="96"/>
      <x:c r="F12" s="96"/>
      <x:c r="G12" s="96"/>
      <x:c r="H12" s="96"/>
    </x:row>
    <x:row r="13">
      <x:c r="A13" s="96" t="str">
        <x:v>Importação ponta – projeto</x:v>
      </x:c>
      <x:c r="B13" s="139" t="n">
        <x:v>9.419</x:v>
      </x:c>
      <x:c r="C13" s="96" t="str">
        <x:v>MWh/ano</x:v>
      </x:c>
      <x:c r="D13" s="96" t="str">
        <x:v>Após despacho modelado</x:v>
      </x:c>
      <x:c r="E13" s="96"/>
      <x:c r="F13" s="96"/>
      <x:c r="G13" s="96"/>
      <x:c r="H13" s="96"/>
    </x:row>
    <x:row r="14">
      <x:c r="A14" s="96" t="str">
        <x:v>Economia operacional</x:v>
      </x:c>
      <x:c r="B14" s="104" t="n">
        <x:v>167587</x:v>
      </x:c>
      <x:c r="C14" s="96" t="str">
        <x:v>R$/ano</x:v>
      </x:c>
      <x:c r="D14" s="96" t="str">
        <x:v>Tarifas de referência da fatura Jun/26</x:v>
      </x:c>
      <x:c r="E14" s="96"/>
      <x:c r="F14" s="96"/>
      <x:c r="G14" s="96"/>
      <x:c r="H14" s="96"/>
    </x:row>
    <x:row r="15">
      <x:c r="A15" s="96"/>
      <x:c r="B15" s="96"/>
      <x:c r="C15" s="96"/>
      <x:c r="D15" s="96"/>
      <x:c r="E15" s="96"/>
      <x:c r="F15" s="96"/>
      <x:c r="G15" s="96"/>
      <x:c r="H15" s="96"/>
    </x:row>
    <x:row r="16">
      <x:c r="A16" s="62" t="str">
        <x:v>Importante: a simulação preserva, de forma conservadora, os créditos da GD existente e não utiliza sua exportação para carregar o BESS. Não inclui economia por Peak Shaving, redução de TUSDG, reajustes tarifários, O&amp;M, degradação, seguro ou reposição futura.</x:v>
      </x:c>
      <x:c r="B16" s="62"/>
      <x:c r="C16" s="62"/>
      <x:c r="D16" s="62"/>
      <x:c r="E16" s="62"/>
      <x:c r="F16" s="62"/>
      <x:c r="G16" s="62"/>
      <x:c r="H16" s="62"/>
    </x:row>
    <x:row r="17">
      <x:c r="A17" s="62"/>
      <x:c r="B17" s="62"/>
      <x:c r="C17" s="62"/>
      <x:c r="D17" s="62"/>
      <x:c r="E17" s="62"/>
      <x:c r="F17" s="62"/>
      <x:c r="G17" s="62"/>
      <x:c r="H17" s="62"/>
    </x:row>
    <x:row r="18">
      <x:c r="A18" s="62"/>
      <x:c r="B18" s="62"/>
      <x:c r="C18" s="62"/>
      <x:c r="D18" s="62"/>
      <x:c r="E18" s="62"/>
      <x:c r="F18" s="62"/>
      <x:c r="G18" s="62"/>
      <x:c r="H18" s="62"/>
    </x:row>
    <x:row r="19">
      <x:c r="A19" s="62"/>
      <x:c r="B19" s="62"/>
      <x:c r="C19" s="62"/>
      <x:c r="D19" s="62"/>
      <x:c r="E19" s="62"/>
      <x:c r="F19" s="62"/>
      <x:c r="G19" s="62"/>
      <x:c r="H19" s="62"/>
    </x:row>
    <x:row r="20">
      <x:c r="A20" s="62"/>
      <x:c r="B20" s="62"/>
      <x:c r="C20" s="62"/>
      <x:c r="D20" s="62"/>
      <x:c r="E20" s="62"/>
      <x:c r="F20" s="62"/>
      <x:c r="G20" s="62"/>
      <x:c r="H20" s="62"/>
    </x:row>
    <x:row r="21">
      <x:c r="A21" s="96"/>
      <x:c r="B21" s="96"/>
      <x:c r="C21" s="96"/>
      <x:c r="D21" s="96"/>
      <x:c r="E21" s="96"/>
      <x:c r="F21" s="96"/>
      <x:c r="G21" s="96"/>
      <x:c r="H21" s="96"/>
    </x:row>
    <x:row r="22">
      <x:c r="A22" s="96"/>
      <x:c r="B22" s="96"/>
      <x:c r="C22" s="96"/>
      <x:c r="D22" s="96"/>
      <x:c r="E22" s="96"/>
      <x:c r="F22" s="96"/>
      <x:c r="G22" s="96"/>
      <x:c r="H22" s="96"/>
    </x:row>
    <x:row r="23">
      <x:c r="A23" s="96"/>
      <x:c r="B23" s="96"/>
      <x:c r="C23" s="96"/>
      <x:c r="D23" s="96"/>
      <x:c r="E23" s="96"/>
      <x:c r="F23" s="96"/>
      <x:c r="G23" s="96"/>
      <x:c r="H23" s="96"/>
    </x:row>
    <x:row r="24">
      <x:c r="A24" s="96"/>
      <x:c r="B24" s="96"/>
      <x:c r="C24" s="96"/>
      <x:c r="D24" s="96"/>
      <x:c r="E24" s="96"/>
      <x:c r="F24" s="96"/>
      <x:c r="G24" s="96"/>
      <x:c r="H24" s="96"/>
    </x:row>
    <x:row r="25">
      <x:c r="A25" s="96"/>
      <x:c r="B25" s="96"/>
      <x:c r="C25" s="96"/>
      <x:c r="D25" s="96"/>
      <x:c r="E25" s="96"/>
      <x:c r="F25" s="96"/>
      <x:c r="G25" s="96"/>
      <x:c r="H25" s="96"/>
    </x:row>
    <x:row r="26">
      <x:c r="A26" s="96"/>
      <x:c r="B26" s="96"/>
      <x:c r="C26" s="96"/>
      <x:c r="D26" s="96"/>
      <x:c r="E26" s="96"/>
      <x:c r="F26" s="96"/>
      <x:c r="G26" s="96"/>
      <x:c r="H26" s="96"/>
    </x:row>
    <x:row r="27">
      <x:c r="A27" s="96"/>
      <x:c r="B27" s="96"/>
      <x:c r="C27" s="96"/>
      <x:c r="D27" s="96"/>
      <x:c r="E27" s="96"/>
      <x:c r="F27" s="96"/>
      <x:c r="G27" s="96"/>
      <x:c r="H27" s="96"/>
    </x:row>
    <x:row r="28">
      <x:c r="A28" s="96"/>
      <x:c r="B28" s="96"/>
      <x:c r="C28" s="96"/>
      <x:c r="D28" s="96"/>
      <x:c r="E28" s="96"/>
      <x:c r="F28" s="96"/>
      <x:c r="G28" s="96"/>
      <x:c r="H28" s="96"/>
    </x:row>
    <x:row r="29">
      <x:c r="A29" s="96"/>
      <x:c r="B29" s="96"/>
      <x:c r="C29" s="96"/>
      <x:c r="D29" s="96"/>
      <x:c r="E29" s="96"/>
      <x:c r="F29" s="96"/>
      <x:c r="G29" s="96"/>
      <x:c r="H29" s="96"/>
    </x:row>
    <x:row r="30">
      <x:c r="A30" s="96"/>
      <x:c r="B30" s="96"/>
      <x:c r="C30" s="96"/>
      <x:c r="D30" s="96"/>
      <x:c r="E30" s="96"/>
      <x:c r="F30" s="96"/>
      <x:c r="G30" s="96"/>
      <x:c r="H30" s="96"/>
    </x:row>
    <x:row r="31">
      <x:c r="A31" s="96"/>
      <x:c r="B31" s="96"/>
      <x:c r="C31" s="96"/>
      <x:c r="D31" s="96"/>
      <x:c r="E31" s="96"/>
      <x:c r="F31" s="96"/>
      <x:c r="G31" s="96"/>
      <x:c r="H31" s="96"/>
    </x:row>
    <x:row r="32">
      <x:c r="A32" s="96"/>
      <x:c r="B32" s="96"/>
      <x:c r="C32" s="96"/>
      <x:c r="D32" s="96"/>
      <x:c r="E32" s="96"/>
      <x:c r="F32" s="96"/>
      <x:c r="G32" s="96"/>
      <x:c r="H32" s="96"/>
    </x:row>
    <x:row r="33">
      <x:c r="A33" s="96"/>
      <x:c r="B33" s="96"/>
      <x:c r="C33" s="96"/>
      <x:c r="D33" s="96"/>
      <x:c r="E33" s="96"/>
      <x:c r="F33" s="96"/>
      <x:c r="G33" s="96"/>
      <x:c r="H33" s="96"/>
    </x:row>
    <x:row r="34">
      <x:c r="A34" s="96"/>
      <x:c r="B34" s="96"/>
      <x:c r="C34" s="96"/>
      <x:c r="D34" s="96"/>
      <x:c r="E34" s="96"/>
      <x:c r="F34" s="96"/>
      <x:c r="G34" s="96"/>
      <x:c r="H34" s="96"/>
    </x:row>
    <x:row r="35">
      <x:c r="A35" s="96"/>
      <x:c r="B35" s="96"/>
      <x:c r="C35" s="96"/>
      <x:c r="D35" s="96"/>
      <x:c r="E35" s="96"/>
      <x:c r="F35" s="96"/>
      <x:c r="G35" s="96"/>
      <x:c r="H35" s="96"/>
    </x:row>
    <x:row r="36">
      <x:c r="A36" s="96"/>
      <x:c r="B36" s="96"/>
      <x:c r="C36" s="96"/>
      <x:c r="D36" s="96"/>
      <x:c r="E36" s="96"/>
      <x:c r="F36" s="96"/>
      <x:c r="G36" s="96"/>
      <x:c r="H36" s="96"/>
    </x:row>
    <x:row r="37">
      <x:c r="A37" s="96"/>
      <x:c r="B37" s="96"/>
      <x:c r="C37" s="96"/>
      <x:c r="D37" s="96"/>
      <x:c r="E37" s="96"/>
      <x:c r="F37" s="96"/>
      <x:c r="G37" s="96"/>
      <x:c r="H37" s="96"/>
    </x:row>
    <x:row r="38">
      <x:c r="A38" s="96"/>
      <x:c r="B38" s="96"/>
      <x:c r="C38" s="96"/>
      <x:c r="D38" s="96"/>
      <x:c r="E38" s="96"/>
      <x:c r="F38" s="96"/>
      <x:c r="G38" s="96"/>
      <x:c r="H38" s="96"/>
    </x:row>
    <x:row r="39">
      <x:c r="A39" s="96"/>
      <x:c r="B39" s="96"/>
      <x:c r="C39" s="96"/>
      <x:c r="D39" s="96"/>
      <x:c r="E39" s="96"/>
      <x:c r="F39" s="96"/>
      <x:c r="G39" s="96"/>
      <x:c r="H39" s="96"/>
    </x:row>
    <x:row r="40">
      <x:c r="A40" s="96"/>
      <x:c r="B40" s="96"/>
      <x:c r="C40" s="96"/>
      <x:c r="D40" s="96"/>
      <x:c r="E40" s="96"/>
      <x:c r="F40" s="96"/>
      <x:c r="G40" s="96"/>
      <x:c r="H40" s="96"/>
    </x:row>
  </x:sheetData>
  <x:mergeCells>
    <x:mergeCell ref="A1:H1"/>
    <x:mergeCell ref="A2:H2"/>
    <x:mergeCell ref="A16:H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48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95" t="str">
        <x:v>PAYBACK | CENÁRIOS DE ANO 1</x:v>
      </x:c>
      <x:c r="B1" s="95"/>
      <x:c r="C1" s="95"/>
      <x:c r="D1" s="95"/>
      <x:c r="E1" s="95"/>
      <x:c r="F1" s="95"/>
      <x:c r="G1" s="95"/>
      <x:c r="H1" s="95"/>
    </x:row>
    <x:row r="2" ht="28" customHeight="1">
      <x:c r="A2" s="77" t="str">
        <x:v>Payback simples. Benefícios fiscais apresentados separadamente para evitar mistura entre economia operacional e hipótese tributária.</x:v>
      </x:c>
      <x:c r="B2" s="77"/>
      <x:c r="C2" s="77"/>
      <x:c r="D2" s="77"/>
      <x:c r="E2" s="77"/>
      <x:c r="F2" s="77"/>
      <x:c r="G2" s="77"/>
      <x:c r="H2" s="77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22" t="str">
        <x:v>Cenário</x:v>
      </x:c>
      <x:c r="B4" s="22" t="str">
        <x:v>Economia operacional</x:v>
      </x:c>
      <x:c r="C4" s="22" t="str">
        <x:v>Benefício fiscal potencial</x:v>
      </x:c>
      <x:c r="D4" s="22" t="str">
        <x:v>Benefício total</x:v>
      </x:c>
      <x:c r="E4" s="22" t="str">
        <x:v>Payback</x:v>
      </x:c>
      <x:c r="F4" s="96"/>
      <x:c r="G4" s="96"/>
      <x:c r="H4" s="96"/>
    </x:row>
    <x:row r="5">
      <x:c r="A5" s="96" t="str">
        <x:v>Conservador</x:v>
      </x:c>
      <x:c r="B5" s="104" t="n">
        <x:v>141119</x:v>
      </x:c>
      <x:c r="C5" s="104" t="n">
        <x:v>0</x:v>
      </x:c>
      <x:c r="D5" s="104" t="n">
        <x:f>B5+C5</x:f>
        <x:v>141119</x:v>
      </x:c>
      <x:c r="E5" s="103" t="n">
        <x:f>Premissas!$B$19/D5</x:f>
        <x:v>6.583096535548012</x:v>
      </x:c>
      <x:c r="F5" s="96"/>
      <x:c r="G5" s="96"/>
      <x:c r="H5" s="96"/>
    </x:row>
    <x:row r="6">
      <x:c r="A6" s="96" t="str">
        <x:v>Base</x:v>
      </x:c>
      <x:c r="B6" s="104" t="n">
        <x:v>150000</x:v>
      </x:c>
      <x:c r="C6" s="104" t="n">
        <x:v>0</x:v>
      </x:c>
      <x:c r="D6" s="104" t="n">
        <x:f>B6+C6</x:f>
        <x:v>150000</x:v>
      </x:c>
      <x:c r="E6" s="103" t="n">
        <x:f>Premissas!$B$19/D6</x:f>
        <x:v>6.193333333333333</x:v>
      </x:c>
      <x:c r="F6" s="96"/>
      <x:c r="G6" s="96"/>
      <x:c r="H6" s="96"/>
    </x:row>
    <x:row r="7">
      <x:c r="A7" s="96" t="str">
        <x:v>Histórico 2025</x:v>
      </x:c>
      <x:c r="B7" s="104" t="n">
        <x:v>167587</x:v>
      </x:c>
      <x:c r="C7" s="104" t="n">
        <x:v>0</x:v>
      </x:c>
      <x:c r="D7" s="104" t="n">
        <x:f>B7+C7</x:f>
        <x:v>167587</x:v>
      </x:c>
      <x:c r="E7" s="103" t="n">
        <x:f>Premissas!$B$19/D7</x:f>
        <x:v>5.543389403712698</x:v>
      </x:c>
      <x:c r="F7" s="96"/>
      <x:c r="G7" s="96"/>
      <x:c r="H7" s="96"/>
    </x:row>
    <x:row r="8">
      <x:c r="A8" s="96" t="str">
        <x:v>Base + fiscal potencial</x:v>
      </x:c>
      <x:c r="B8" s="104" t="n">
        <x:v>150000</x:v>
      </x:c>
      <x:c r="C8" s="104" t="n">
        <x:v>40179</x:v>
      </x:c>
      <x:c r="D8" s="104" t="n">
        <x:f>B8+C8</x:f>
        <x:v>190179</x:v>
      </x:c>
      <x:c r="E8" s="103" t="n">
        <x:f>Premissas!$B$19/D8</x:f>
        <x:v>4.884871620946582</x:v>
      </x:c>
      <x:c r="F8" s="96"/>
      <x:c r="G8" s="96"/>
      <x:c r="H8" s="96"/>
    </x:row>
    <x:row r="9">
      <x:c r="A9" s="96" t="str">
        <x:v>Histórico 2025 + fiscal</x:v>
      </x:c>
      <x:c r="B9" s="104" t="n">
        <x:v>167587</x:v>
      </x:c>
      <x:c r="C9" s="104" t="n">
        <x:v>40179</x:v>
      </x:c>
      <x:c r="D9" s="104" t="n">
        <x:f>B9+C9</x:f>
        <x:v>207766</x:v>
      </x:c>
      <x:c r="E9" s="103" t="n">
        <x:f>Premissas!$B$19/D9</x:f>
        <x:v>4.471376452355053</x:v>
      </x:c>
      <x:c r="F9" s="96"/>
      <x:c r="G9" s="96"/>
      <x:c r="H9" s="96"/>
    </x:row>
    <x:row r="10">
      <x:c r="A10" s="96"/>
      <x:c r="B10" s="96"/>
      <x:c r="C10" s="96"/>
      <x:c r="D10" s="96"/>
      <x:c r="E10" s="96"/>
      <x:c r="F10" s="96"/>
      <x:c r="G10" s="96"/>
      <x:c r="H10" s="96"/>
    </x:row>
    <x:row r="11" ht="22" customHeight="1">
      <x:c r="A11" s="97" t="str">
        <x:v>CONSIDERAÇÕES FISCAIS – LUCRO REAL</x:v>
      </x:c>
      <x:c r="B11" s="97" t="str">
        <x:v>CONSIDERAÇÕES FISCAIS – LUCRO REAL</x:v>
      </x:c>
      <x:c r="C11" s="97" t="str">
        <x:v>CONSIDERAÇÕES FISCAIS – LUCRO REAL</x:v>
      </x:c>
      <x:c r="D11" s="97" t="str">
        <x:v>CONSIDERAÇÕES FISCAIS – LUCRO REAL</x:v>
      </x:c>
      <x:c r="E11" s="97" t="str">
        <x:v>CONSIDERAÇÕES FISCAIS – LUCRO REAL</x:v>
      </x:c>
      <x:c r="F11" s="97" t="str">
        <x:v>CONSIDERAÇÕES FISCAIS – LUCRO REAL</x:v>
      </x:c>
      <x:c r="G11" s="97" t="str">
        <x:v>CONSIDERAÇÕES FISCAIS – LUCRO REAL</x:v>
      </x:c>
      <x:c r="H11" s="97" t="str">
        <x:v>CONSIDERAÇÕES FISCAIS – LUCRO REAL</x:v>
      </x:c>
    </x:row>
    <x:row r="12">
      <x:c r="A12" s="22" t="str">
        <x:v>Premissa fiscal de modelagem</x:v>
      </x:c>
      <x:c r="B12" s="22" t="str">
        <x:v>Valor</x:v>
      </x:c>
      <x:c r="C12" s="22" t="str">
        <x:v>Unidade</x:v>
      </x:c>
      <x:c r="D12" s="22" t="str">
        <x:v>Observação</x:v>
      </x:c>
      <x:c r="E12" s="96"/>
      <x:c r="F12" s="96"/>
      <x:c r="G12" s="96"/>
      <x:c r="H12" s="96"/>
    </x:row>
    <x:row r="13">
      <x:c r="A13" s="96" t="str">
        <x:v>Depreciação linear adotada</x:v>
      </x:c>
      <x:c r="B13" s="98" t="n">
        <x:v>10</x:v>
      </x:c>
      <x:c r="C13" s="96" t="str">
        <x:v>anos</x:v>
      </x:c>
      <x:c r="D13" s="96" t="str">
        <x:v>Hipótese de modelagem; confirmar classificação fiscal dos ativos</x:v>
      </x:c>
      <x:c r="E13" s="96"/>
      <x:c r="F13" s="96"/>
      <x:c r="G13" s="96"/>
      <x:c r="H13" s="96"/>
    </x:row>
    <x:row r="14">
      <x:c r="A14" s="96" t="str">
        <x:v>Depreciação anual</x:v>
      </x:c>
      <x:c r="B14" s="104" t="n">
        <x:f>Premissas!B19/B13</x:f>
        <x:v>92900</x:v>
      </x:c>
      <x:c r="C14" s="96" t="str">
        <x:v>R$/ano</x:v>
      </x:c>
      <x:c r="D14" s="96" t="str">
        <x:v>CAPEX / vida útil fiscal adotada</x:v>
      </x:c>
      <x:c r="E14" s="96"/>
      <x:c r="F14" s="96"/>
      <x:c r="G14" s="96"/>
      <x:c r="H14" s="96"/>
    </x:row>
    <x:row r="15">
      <x:c r="A15" s="96" t="str">
        <x:v>Escudo IRPJ + CSLL potencial</x:v>
      </x:c>
      <x:c r="B15" s="102" t="n">
        <x:v>0.34</x:v>
      </x:c>
      <x:c r="C15" s="96" t="str">
        <x:v>%</x:v>
      </x:c>
      <x:c r="D15" s="96" t="str">
        <x:v>Alíquota marginal máxima usada na simulação</x:v>
      </x:c>
      <x:c r="E15" s="96"/>
      <x:c r="F15" s="96"/>
      <x:c r="G15" s="96"/>
      <x:c r="H15" s="96"/>
    </x:row>
    <x:row r="16">
      <x:c r="A16" s="96" t="str">
        <x:v>PIS/COFINS potencial</x:v>
      </x:c>
      <x:c r="B16" s="102" t="n">
        <x:v>0.0925</x:v>
      </x:c>
      <x:c r="C16" s="96" t="str">
        <x:v>%</x:v>
      </x:c>
      <x:c r="D16" s="96" t="str">
        <x:v>Crédito sobre depreciação, se elegível</x:v>
      </x:c>
      <x:c r="E16" s="96"/>
      <x:c r="F16" s="96"/>
      <x:c r="G16" s="96"/>
      <x:c r="H16" s="96"/>
    </x:row>
    <x:row r="17">
      <x:c r="A17" s="96" t="str">
        <x:v>Benefício fiscal potencial</x:v>
      </x:c>
      <x:c r="B17" s="104" t="n">
        <x:f>B14*B15+B14*B16</x:f>
        <x:v>40179.25</x:v>
      </x:c>
      <x:c r="C17" s="96" t="str">
        <x:v>R$/ano</x:v>
      </x:c>
      <x:c r="D17" s="96" t="str">
        <x:v>Sujeito a enquadramento e validação contábil</x:v>
      </x:c>
      <x:c r="E17" s="96"/>
      <x:c r="F17" s="96"/>
      <x:c r="G17" s="96"/>
      <x:c r="H17" s="96"/>
    </x:row>
    <x:row r="18">
      <x:c r="A18" s="96"/>
      <x:c r="B18" s="96"/>
      <x:c r="C18" s="96"/>
      <x:c r="D18" s="96"/>
      <x:c r="E18" s="96"/>
      <x:c r="F18" s="96"/>
      <x:c r="G18" s="96"/>
      <x:c r="H18" s="96"/>
    </x:row>
    <x:row r="19">
      <x:c r="A19" s="62" t="str">
        <x:v>A apresentação fiscal é indicativa. Para empresa no Lucro Real, a possibilidade e proporção dos créditos/depreciação dependem do uso do ativo na prestação de serviços, da classificação contábil/fiscal e da validação do contador. O payback fiscal não substitui um fluxo de caixa pós-impostos.</x:v>
      </x:c>
      <x:c r="B19" s="62"/>
      <x:c r="C19" s="62"/>
      <x:c r="D19" s="62"/>
      <x:c r="E19" s="62"/>
      <x:c r="F19" s="62"/>
      <x:c r="G19" s="62"/>
      <x:c r="H19" s="62"/>
    </x:row>
    <x:row r="20">
      <x:c r="A20" s="62"/>
      <x:c r="B20" s="62"/>
      <x:c r="C20" s="62"/>
      <x:c r="D20" s="62"/>
      <x:c r="E20" s="62"/>
      <x:c r="F20" s="62"/>
      <x:c r="G20" s="62"/>
      <x:c r="H20" s="62"/>
    </x:row>
    <x:row r="21">
      <x:c r="A21" s="62"/>
      <x:c r="B21" s="62"/>
      <x:c r="C21" s="62"/>
      <x:c r="D21" s="62"/>
      <x:c r="E21" s="62"/>
      <x:c r="F21" s="62"/>
      <x:c r="G21" s="62"/>
      <x:c r="H21" s="62"/>
    </x:row>
    <x:row r="22">
      <x:c r="A22" s="62"/>
      <x:c r="B22" s="62"/>
      <x:c r="C22" s="62"/>
      <x:c r="D22" s="62"/>
      <x:c r="E22" s="62"/>
      <x:c r="F22" s="62"/>
      <x:c r="G22" s="62"/>
      <x:c r="H22" s="62"/>
    </x:row>
    <x:row r="23">
      <x:c r="A23" s="62"/>
      <x:c r="B23" s="62"/>
      <x:c r="C23" s="62"/>
      <x:c r="D23" s="62"/>
      <x:c r="E23" s="62"/>
      <x:c r="F23" s="62"/>
      <x:c r="G23" s="62"/>
      <x:c r="H23" s="62"/>
    </x:row>
    <x:row r="24">
      <x:c r="A24" s="96"/>
      <x:c r="B24" s="96"/>
      <x:c r="C24" s="96"/>
      <x:c r="D24" s="96"/>
      <x:c r="E24" s="96"/>
      <x:c r="F24" s="96"/>
      <x:c r="G24" s="96"/>
      <x:c r="H24" s="96"/>
    </x:row>
    <x:row r="25">
      <x:c r="A25" s="96"/>
      <x:c r="B25" s="96"/>
      <x:c r="C25" s="96"/>
      <x:c r="D25" s="96"/>
      <x:c r="E25" s="96"/>
      <x:c r="F25" s="96"/>
      <x:c r="G25" s="96"/>
      <x:c r="H25" s="96"/>
    </x:row>
    <x:row r="26">
      <x:c r="A26" s="96"/>
      <x:c r="B26" s="96"/>
      <x:c r="C26" s="96"/>
      <x:c r="D26" s="96"/>
      <x:c r="E26" s="96"/>
      <x:c r="F26" s="96"/>
      <x:c r="G26" s="96"/>
      <x:c r="H26" s="96"/>
    </x:row>
    <x:row r="27">
      <x:c r="A27" s="96"/>
      <x:c r="B27" s="96"/>
      <x:c r="C27" s="96"/>
      <x:c r="D27" s="96"/>
      <x:c r="E27" s="96"/>
      <x:c r="F27" s="96"/>
      <x:c r="G27" s="96"/>
      <x:c r="H27" s="96"/>
    </x:row>
    <x:row r="28">
      <x:c r="A28" s="96"/>
      <x:c r="B28" s="96"/>
      <x:c r="C28" s="96"/>
      <x:c r="D28" s="96"/>
      <x:c r="E28" s="96"/>
      <x:c r="F28" s="96"/>
      <x:c r="G28" s="96"/>
      <x:c r="H28" s="96"/>
    </x:row>
    <x:row r="29">
      <x:c r="A29" s="96"/>
      <x:c r="B29" s="96"/>
      <x:c r="C29" s="96"/>
      <x:c r="D29" s="96"/>
      <x:c r="E29" s="96"/>
      <x:c r="F29" s="96"/>
      <x:c r="G29" s="96"/>
      <x:c r="H29" s="96"/>
    </x:row>
    <x:row r="30">
      <x:c r="A30" s="96"/>
      <x:c r="B30" s="96"/>
      <x:c r="C30" s="96"/>
      <x:c r="D30" s="96"/>
      <x:c r="E30" s="96"/>
      <x:c r="F30" s="96"/>
      <x:c r="G30" s="96"/>
      <x:c r="H30" s="96"/>
    </x:row>
    <x:row r="31">
      <x:c r="A31" s="96"/>
      <x:c r="B31" s="96"/>
      <x:c r="C31" s="96"/>
      <x:c r="D31" s="96"/>
      <x:c r="E31" s="96"/>
      <x:c r="F31" s="96"/>
      <x:c r="G31" s="96"/>
      <x:c r="H31" s="96"/>
    </x:row>
    <x:row r="32">
      <x:c r="A32" s="96"/>
      <x:c r="B32" s="96"/>
      <x:c r="C32" s="96"/>
      <x:c r="D32" s="96"/>
      <x:c r="E32" s="96"/>
      <x:c r="F32" s="96"/>
      <x:c r="G32" s="96"/>
      <x:c r="H32" s="96"/>
    </x:row>
    <x:row r="33">
      <x:c r="A33" s="96"/>
      <x:c r="B33" s="96"/>
      <x:c r="C33" s="96"/>
      <x:c r="D33" s="96"/>
      <x:c r="E33" s="96"/>
      <x:c r="F33" s="96"/>
      <x:c r="G33" s="96"/>
      <x:c r="H33" s="96"/>
    </x:row>
    <x:row r="34">
      <x:c r="A34" s="96"/>
      <x:c r="B34" s="96"/>
      <x:c r="C34" s="96"/>
      <x:c r="D34" s="96"/>
      <x:c r="E34" s="96"/>
      <x:c r="F34" s="96"/>
      <x:c r="G34" s="96"/>
      <x:c r="H34" s="96"/>
    </x:row>
    <x:row r="35">
      <x:c r="A35" s="96"/>
      <x:c r="B35" s="96"/>
      <x:c r="C35" s="96"/>
      <x:c r="D35" s="96"/>
      <x:c r="E35" s="96"/>
      <x:c r="F35" s="96"/>
      <x:c r="G35" s="96"/>
      <x:c r="H35" s="96"/>
    </x:row>
    <x:row r="36">
      <x:c r="A36" s="96"/>
      <x:c r="B36" s="96"/>
      <x:c r="C36" s="96"/>
      <x:c r="D36" s="96"/>
      <x:c r="E36" s="96"/>
      <x:c r="F36" s="96"/>
      <x:c r="G36" s="96"/>
      <x:c r="H36" s="96"/>
    </x:row>
    <x:row r="37">
      <x:c r="A37" s="96"/>
      <x:c r="B37" s="96"/>
      <x:c r="C37" s="96"/>
      <x:c r="D37" s="96"/>
      <x:c r="E37" s="96"/>
      <x:c r="F37" s="96"/>
      <x:c r="G37" s="96"/>
      <x:c r="H37" s="96"/>
    </x:row>
    <x:row r="38">
      <x:c r="A38" s="96"/>
      <x:c r="B38" s="96"/>
      <x:c r="C38" s="96"/>
      <x:c r="D38" s="96"/>
      <x:c r="E38" s="96"/>
      <x:c r="F38" s="96"/>
      <x:c r="G38" s="96"/>
      <x:c r="H38" s="96"/>
    </x:row>
    <x:row r="39">
      <x:c r="A39" s="96"/>
      <x:c r="B39" s="96"/>
      <x:c r="C39" s="96"/>
      <x:c r="D39" s="96"/>
      <x:c r="E39" s="96"/>
      <x:c r="F39" s="96"/>
      <x:c r="G39" s="96"/>
      <x:c r="H39" s="96"/>
    </x:row>
    <x:row r="40">
      <x:c r="A40" s="96"/>
      <x:c r="B40" s="96"/>
      <x:c r="C40" s="96"/>
      <x:c r="D40" s="96"/>
      <x:c r="E40" s="96"/>
      <x:c r="F40" s="96"/>
      <x:c r="G40" s="96"/>
      <x:c r="H40" s="96"/>
    </x:row>
  </x:sheetData>
  <x:mergeCells>
    <x:mergeCell ref="A1:H1"/>
    <x:mergeCell ref="A2:H2"/>
    <x:mergeCell ref="A11:H11"/>
    <x:mergeCell ref="A19:H23"/>
  </x:mergeCells>
  <x:pageMargins left="0.7" right="0.7" top="0.75" bottom="0.75" header="0.3" footer="0.3"/>
  <x:drawing xmlns:r="http://schemas.openxmlformats.org/officeDocument/2006/relationships" r:id="Rc37b93388d9446ee"/>
</x:worksheet>
</file>